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inge\Documents\communitylevelAMR\"/>
    </mc:Choice>
  </mc:AlternateContent>
  <xr:revisionPtr revIDLastSave="0" documentId="13_ncr:1_{C89826E0-EA96-4183-A921-3D53B183BD30}" xr6:coauthVersionLast="47" xr6:coauthVersionMax="47" xr10:uidLastSave="{00000000-0000-0000-0000-000000000000}"/>
  <bookViews>
    <workbookView xWindow="-120" yWindow="-120" windowWidth="29040" windowHeight="15720" xr2:uid="{00000000-000D-0000-FFFF-FFFF00000000}"/>
  </bookViews>
  <sheets>
    <sheet name="Primary Studies" sheetId="1" r:id="rId1"/>
    <sheet name="README" sheetId="2" r:id="rId2"/>
    <sheet name="Legend &amp; Notes" sheetId="4" r:id="rId3"/>
  </sheets>
  <definedNames>
    <definedName name="_xlnm._FilterDatabase" localSheetId="0" hidden="1">'Primary Studies'!$A$1:$BK$112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22" i="1" l="1"/>
  <c r="AX22" i="1" s="1"/>
  <c r="AW63" i="1"/>
  <c r="AX63" i="1" s="1"/>
  <c r="AW66" i="1"/>
  <c r="AX66" i="1" s="1"/>
  <c r="AW11" i="1"/>
  <c r="AX11" i="1" s="1"/>
  <c r="AW19" i="1"/>
  <c r="AX19" i="1" s="1"/>
  <c r="AW18" i="1"/>
  <c r="AX18" i="1" s="1"/>
  <c r="AX3" i="1"/>
  <c r="AX4" i="1"/>
  <c r="AX5" i="1"/>
  <c r="AX6" i="1"/>
  <c r="AX7" i="1"/>
  <c r="AX8" i="1"/>
  <c r="AX9" i="1"/>
  <c r="AX10" i="1"/>
  <c r="AX12" i="1"/>
  <c r="AX13" i="1"/>
  <c r="AX14" i="1"/>
  <c r="AX15" i="1"/>
  <c r="AX16" i="1"/>
  <c r="AX17" i="1"/>
  <c r="AX20" i="1"/>
  <c r="AX21"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9" i="1"/>
  <c r="AX60" i="1"/>
  <c r="AX61" i="1"/>
  <c r="AX62" i="1"/>
  <c r="AX64" i="1"/>
  <c r="AX65"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2" i="1"/>
</calcChain>
</file>

<file path=xl/sharedStrings.xml><?xml version="1.0" encoding="utf-8"?>
<sst xmlns="http://schemas.openxmlformats.org/spreadsheetml/2006/main" count="3547" uniqueCount="1225">
  <si>
    <t>Ref #</t>
  </si>
  <si>
    <t>Source SR(s)</t>
  </si>
  <si>
    <t>First Author</t>
  </si>
  <si>
    <t>Year Published</t>
  </si>
  <si>
    <t>Year(s) Sample Collection</t>
  </si>
  <si>
    <t>Study Design</t>
  </si>
  <si>
    <t>Country</t>
  </si>
  <si>
    <t>Setting</t>
  </si>
  <si>
    <t>Urban/Rural Setting</t>
  </si>
  <si>
    <t>Population Description</t>
  </si>
  <si>
    <t>Age Group</t>
  </si>
  <si>
    <t>N Stool/Swab Collected</t>
  </si>
  <si>
    <t>Specimen Type</t>
  </si>
  <si>
    <t>Pathogen</t>
  </si>
  <si>
    <t>N Positive ESBL/3GCR</t>
  </si>
  <si>
    <t>N Positive ESBL E. coli</t>
  </si>
  <si>
    <t>Prevalence ESBL (%)</t>
  </si>
  <si>
    <t>N Positive CRE/CPE</t>
  </si>
  <si>
    <t>N Positive CR E. coli</t>
  </si>
  <si>
    <t>Prevalence CRE (%)</t>
  </si>
  <si>
    <t>manual check done</t>
  </si>
  <si>
    <t>Dominant Species</t>
  </si>
  <si>
    <t>Dominant ESBL Gene</t>
  </si>
  <si>
    <t>Age-stratified prev.</t>
  </si>
  <si>
    <t>Sex-stratified prev.</t>
  </si>
  <si>
    <t>Other stratifications</t>
  </si>
  <si>
    <t>WASH data collected?</t>
  </si>
  <si>
    <t>Water variable</t>
  </si>
  <si>
    <t>Sanitation variable</t>
  </si>
  <si>
    <t>Hygiene variable</t>
  </si>
  <si>
    <t>Factors associated (significant)</t>
  </si>
  <si>
    <t>Factors NOT associated (tested, NS)</t>
  </si>
  <si>
    <t>Detection method</t>
  </si>
  <si>
    <t>PubMed or doi link</t>
  </si>
  <si>
    <t>Notes</t>
  </si>
  <si>
    <t>JMP WASH year</t>
  </si>
  <si>
    <t>JMP data source</t>
  </si>
  <si>
    <t>Water on premises (%)</t>
  </si>
  <si>
    <t>Safely managed sanitation (%)</t>
  </si>
  <si>
    <t>Basic hygiene (HW facility w/ soap &amp; water) (%)</t>
  </si>
  <si>
    <t>Handwashing facility
on premises (%)</t>
  </si>
  <si>
    <t>Basic hygiene (%)</t>
  </si>
  <si>
    <t>Antibiotic use
(DDD/1000/day)</t>
  </si>
  <si>
    <t>Children &lt;5 years
(% national, UN WPP)</t>
  </si>
  <si>
    <t>U5 data year
(UN WPP 2022)</t>
  </si>
  <si>
    <t>UN M49
Subregion</t>
  </si>
  <si>
    <t>Water Free from Contamination
(SM component) (%)</t>
  </si>
  <si>
    <t>Piped Water Supply (%)</t>
  </si>
  <si>
    <t>Safely Managed Water
(granular, stratum-matched) (%)</t>
  </si>
  <si>
    <t>At Least Basic Water
(granular, stratum-matched) (%)</t>
  </si>
  <si>
    <t>Limited Water Service
(&gt;30 min) (%)</t>
  </si>
  <si>
    <t>Surface Water
(No Service) (%)</t>
  </si>
  <si>
    <t>Unimproved Water (%)</t>
  </si>
  <si>
    <t>At Least Basic
Sanitation (%) [ladder]</t>
  </si>
  <si>
    <t>Limited Sanitation
(shared/unimproved) (%)</t>
  </si>
  <si>
    <t>Unimproved Sanitation (%)</t>
  </si>
  <si>
    <t>No Sanitation Service
(open defecation) (%)</t>
  </si>
  <si>
    <t>Include in Analysis</t>
  </si>
  <si>
    <t>GDP per capita
(current int$, matched year)</t>
  </si>
  <si>
    <t>GDP data source</t>
  </si>
  <si>
    <t>Safely Managed Water -
imputation SD (%)</t>
  </si>
  <si>
    <t>AMR match (%)
[E. coli 3GC-R, GLASS/EARS-Net/CDC/CARSS]</t>
  </si>
  <si>
    <t>AMR match year</t>
  </si>
  <si>
    <t>AMR match source</t>
  </si>
  <si>
    <t>Years: study to match</t>
  </si>
  <si>
    <t>Valverde et al.</t>
  </si>
  <si>
    <t>Cross-sectional</t>
  </si>
  <si>
    <t>Spain</t>
  </si>
  <si>
    <t>Urban</t>
  </si>
  <si>
    <t>Adults</t>
  </si>
  <si>
    <t>Stool</t>
  </si>
  <si>
    <t>ESBL-E</t>
  </si>
  <si>
    <t>32</t>
  </si>
  <si>
    <t>0</t>
  </si>
  <si>
    <t>0%</t>
  </si>
  <si>
    <t>E. coli</t>
  </si>
  <si>
    <t>NR</t>
  </si>
  <si>
    <t>No</t>
  </si>
  <si>
    <t>Phenotypic + PCR</t>
  </si>
  <si>
    <t>WHO/UNICEF JMP 2025 (urban)</t>
  </si>
  <si>
    <t>Southern Europe</t>
  </si>
  <si>
    <t>Exclude</t>
  </si>
  <si>
    <t>World Bank</t>
  </si>
  <si>
    <t>2</t>
  </si>
  <si>
    <t>Leflon-Guibout et al.</t>
  </si>
  <si>
    <t>2006–2007</t>
  </si>
  <si>
    <t>France</t>
  </si>
  <si>
    <t>2.3%</t>
  </si>
  <si>
    <t>Western Europe</t>
  </si>
  <si>
    <t>Janvier et al.</t>
  </si>
  <si>
    <t>Rectal swab</t>
  </si>
  <si>
    <t>48</t>
  </si>
  <si>
    <t>CTX-M-15</t>
  </si>
  <si>
    <t>Nicolas-Chanoine et al.</t>
  </si>
  <si>
    <t>Sex; age</t>
  </si>
  <si>
    <t>Phenotypic + WGS</t>
  </si>
  <si>
    <t>2010</t>
  </si>
  <si>
    <t>Valenza et al.</t>
  </si>
  <si>
    <t>2012</t>
  </si>
  <si>
    <t>Germany</t>
  </si>
  <si>
    <t>2010–2011</t>
  </si>
  <si>
    <t>Switzerland</t>
  </si>
  <si>
    <t>4.4%</t>
  </si>
  <si>
    <t>2011</t>
  </si>
  <si>
    <t>Portugal</t>
  </si>
  <si>
    <t>Healthy volunteers</t>
  </si>
  <si>
    <t>5.0%</t>
  </si>
  <si>
    <t>E. coli, K. pneumoniae</t>
  </si>
  <si>
    <t>2009–2010</t>
  </si>
  <si>
    <t>Denmark</t>
  </si>
  <si>
    <t>11</t>
  </si>
  <si>
    <t>6.1%</t>
  </si>
  <si>
    <t>CTX-M-1 group</t>
  </si>
  <si>
    <t>Antibiotic use</t>
  </si>
  <si>
    <t>Northern Europe</t>
  </si>
  <si>
    <t>Sweden</t>
  </si>
  <si>
    <t>2014–2015</t>
  </si>
  <si>
    <t>2014</t>
  </si>
  <si>
    <t>Wielders et al.</t>
  </si>
  <si>
    <t>2014–2016</t>
  </si>
  <si>
    <t>National cross-sectional</t>
  </si>
  <si>
    <t>Netherlands</t>
  </si>
  <si>
    <t>Community (national survey)</t>
  </si>
  <si>
    <t>Rural</t>
  </si>
  <si>
    <t>Healthy community adults and children (national survey)</t>
  </si>
  <si>
    <t>All ages</t>
  </si>
  <si>
    <t>ESBL-E + AmpC-E</t>
  </si>
  <si>
    <t>4.5%</t>
  </si>
  <si>
    <t>X</t>
  </si>
  <si>
    <t>CTX-M-1 group, CTX-M-15</t>
  </si>
  <si>
    <t>NR by age group in abstract</t>
  </si>
  <si>
    <t>Urban vs rural; seasonal</t>
  </si>
  <si>
    <t>International travel; prior antibiotic use; contact with poultry/pigs</t>
  </si>
  <si>
    <t>Age; sex; rural living (NS)</t>
  </si>
  <si>
    <t>https://doi.org/10.1016/j.cmi.2016.10.013</t>
  </si>
  <si>
    <t>Dutch national community survey; travel + livestock dominate; no WASH variables</t>
  </si>
  <si>
    <t>2015</t>
  </si>
  <si>
    <t>Include</t>
  </si>
  <si>
    <t>GLASS</t>
  </si>
  <si>
    <t>2013–2014</t>
  </si>
  <si>
    <t>Community</t>
  </si>
  <si>
    <t>2019–2020</t>
  </si>
  <si>
    <t>Partial</t>
  </si>
  <si>
    <t>2020</t>
  </si>
  <si>
    <t>14</t>
  </si>
  <si>
    <t>Van Den Bunt et al.</t>
  </si>
  <si>
    <t>Community (households, preschool)</t>
  </si>
  <si>
    <t>Dutch general population adults and children</t>
  </si>
  <si>
    <t>ESBL/AmpC E</t>
  </si>
  <si>
    <t>CTX-M-1</t>
  </si>
  <si>
    <t>Children higher than adults</t>
  </si>
  <si>
    <t>Child vs adult comparison</t>
  </si>
  <si>
    <t>Daycare attendance; poultry/pet dog contact; travel by parent</t>
  </si>
  <si>
    <t>Antibiotic use (NS)</t>
  </si>
  <si>
    <t>https://www.eurosurveillance.org/content/10.2807/1560-7917.ES.2019.24.41.1800594</t>
  </si>
  <si>
    <t>Dynamics of intestinal carriage of ESBL-PE in the Dutch general population 2014–2016 (Clin Infect Dis 2020). N=4177 (baseline). Note: cross-sectional prevalence arm. Hobson S3. [Hob] tag.</t>
  </si>
  <si>
    <t>JMP 2025</t>
  </si>
  <si>
    <t>Ebrahimi et al.</t>
  </si>
  <si>
    <t>2012–2013</t>
  </si>
  <si>
    <t>Hungary</t>
  </si>
  <si>
    <t>37</t>
  </si>
  <si>
    <t>Eastern Europe</t>
  </si>
  <si>
    <t>Ulstad et al.</t>
  </si>
  <si>
    <t>Norway</t>
  </si>
  <si>
    <t>7.0%</t>
  </si>
  <si>
    <t>CTX-M-15, CTX-M-27</t>
  </si>
  <si>
    <t>Sex</t>
  </si>
  <si>
    <t>2015–2016</t>
  </si>
  <si>
    <t>Chad</t>
  </si>
  <si>
    <t>2016 [HW-on-prem imputed Tier4: expanded region + stratum]</t>
  </si>
  <si>
    <t>2016</t>
  </si>
  <si>
    <t>Middle Africa</t>
  </si>
  <si>
    <t>Republic of Korea</t>
  </si>
  <si>
    <t>CTX-M-14, CTX-M-15</t>
  </si>
  <si>
    <t>Eastern Asia</t>
  </si>
  <si>
    <t>Lonchel et al.</t>
  </si>
  <si>
    <t>Cameroon</t>
  </si>
  <si>
    <t>Healthy community volunteers</t>
  </si>
  <si>
    <t>—</t>
  </si>
  <si>
    <t>Ouédraogo et al.</t>
  </si>
  <si>
    <t>Burkina Faso</t>
  </si>
  <si>
    <t>35.8%</t>
  </si>
  <si>
    <t>Western Africa</t>
  </si>
  <si>
    <t>Mshana et al.</t>
  </si>
  <si>
    <t>Tanzania</t>
  </si>
  <si>
    <t>53</t>
  </si>
  <si>
    <t>Antibiotic use (NS in MVA)</t>
  </si>
  <si>
    <t>Eastern Africa</t>
  </si>
  <si>
    <t>Adults + children</t>
  </si>
  <si>
    <t>ESBL-E + CPE</t>
  </si>
  <si>
    <t>Rwanda</t>
  </si>
  <si>
    <t>Drinking water source</t>
  </si>
  <si>
    <t>2021–2022</t>
  </si>
  <si>
    <t>ESBL-E + CRE</t>
  </si>
  <si>
    <t>2022</t>
  </si>
  <si>
    <t>29</t>
  </si>
  <si>
    <t>[New]</t>
  </si>
  <si>
    <t>Yimer et al.</t>
  </si>
  <si>
    <t>Ethiopia (Somali region)</t>
  </si>
  <si>
    <t>Rural community (pastoralist)</t>
  </si>
  <si>
    <t>Children from pastoralist households</t>
  </si>
  <si>
    <t>Children 2–5 y</t>
  </si>
  <si>
    <t>43.4%</t>
  </si>
  <si>
    <t>Single age group</t>
  </si>
  <si>
    <t>Livestock species</t>
  </si>
  <si>
    <t>Yes</t>
  </si>
  <si>
    <t>River/well/chlorinated borehole</t>
  </si>
  <si>
    <t>Open defecation (community-level)</t>
  </si>
  <si>
    <t>Cattle/goat ownership (OR 3.1); river water (OR 2.4); open defecation</t>
  </si>
  <si>
    <t>Chlorine-treated water (confounded positive association)</t>
  </si>
  <si>
    <t>https://pubmed.ncbi.nlm.nih.gov/39695886/</t>
  </si>
  <si>
    <t>Pastoralist children; strong One Health design; chlorination paradox</t>
  </si>
  <si>
    <t>WHO/UNICEF JMP 2025 (rural)</t>
  </si>
  <si>
    <t>Obeng-Nkrumah et al.</t>
  </si>
  <si>
    <t>2013–2015</t>
  </si>
  <si>
    <t>Ghana</t>
  </si>
  <si>
    <t>31a</t>
  </si>
  <si>
    <t>Cocker et al.</t>
  </si>
  <si>
    <t>2018–2020</t>
  </si>
  <si>
    <t>Longitudinal cohort</t>
  </si>
  <si>
    <t>Malawi</t>
  </si>
  <si>
    <t>Household (rural + peri-urban)</t>
  </si>
  <si>
    <t>Healthy household members (One Health cohort)</t>
  </si>
  <si>
    <t>41.8%</t>
  </si>
  <si>
    <t>Household-level; seasonal</t>
  </si>
  <si>
    <t>Water source; water treatment</t>
  </si>
  <si>
    <t>Latrine type; OD index</t>
  </si>
  <si>
    <t>Handwashing with soap (observed); WASH infrastructure score</t>
  </si>
  <si>
    <t>Unimproved sanitation; unimproved water treatment; animal ownership; crowding</t>
  </si>
  <si>
    <t>Individual antibiotic use (NS!); hospitalisation (NS)</t>
  </si>
  <si>
    <t>https://pubmed.ncbi.nlm.nih.gov/37207684/</t>
  </si>
  <si>
    <t>Strongest longitudinal WASH evidence; antibiotic use null in LMIC</t>
  </si>
  <si>
    <t>2019</t>
  </si>
  <si>
    <t>Manyahi et al.</t>
  </si>
  <si>
    <t>2017–2018</t>
  </si>
  <si>
    <t>Community (Dar es Salaam)</t>
  </si>
  <si>
    <t>Newly HIV-diagnosed adults (community setting)</t>
  </si>
  <si>
    <t>Adults newly HIV diagnosed with CD4 count &gt;/= 350</t>
  </si>
  <si>
    <t>31.3%</t>
  </si>
  <si>
    <t>Sanitation access noted</t>
  </si>
  <si>
    <t>CD4 count; prior antibiotic use</t>
  </si>
  <si>
    <t>https://doi.org/10.1089/mdr.2020.0066</t>
  </si>
  <si>
    <t>HIV population (community); note: not strictly 'healthy'; HIV status a potential confounder</t>
  </si>
  <si>
    <t>2018</t>
  </si>
  <si>
    <t>2007–2008</t>
  </si>
  <si>
    <t>Thailand</t>
  </si>
  <si>
    <t>CTX-M-55, CTX-M-14</t>
  </si>
  <si>
    <t>South-eastern Asia</t>
  </si>
  <si>
    <t>34a</t>
  </si>
  <si>
    <t>Nakayama et al.</t>
  </si>
  <si>
    <t>2013</t>
  </si>
  <si>
    <t>Vietnam</t>
  </si>
  <si>
    <t>Community residents, Vietnam</t>
  </si>
  <si>
    <t>ESBL-E. coli</t>
  </si>
  <si>
    <t>51.0%</t>
  </si>
  <si>
    <t>By country</t>
  </si>
  <si>
    <t>Country comparison (Vietnam highest; Laos lowest)</t>
  </si>
  <si>
    <t>Country (Vietnam &gt; Laos); antibiotic use</t>
  </si>
  <si>
    <t>https://pmc.ncbi.nlm.nih.gov/articles/PMC4315533/</t>
  </si>
  <si>
    <t>Split from multi-country row #34 (Nakayama et al. 2015). Vietnam arm: 2013, N=198.</t>
  </si>
  <si>
    <t>not available (country does not report to GLASS/EARS-Net/CDC/CARSS)</t>
  </si>
  <si>
    <t>34b</t>
  </si>
  <si>
    <t>Laos</t>
  </si>
  <si>
    <t>Community residents, Laos</t>
  </si>
  <si>
    <t>71.9%</t>
  </si>
  <si>
    <t>Split from multi-country row #34 (Nakayama et al. 2015). Laos arm: 2012, N=57. AMU imputed.</t>
  </si>
  <si>
    <t>34c</t>
  </si>
  <si>
    <t>Community residents, Thailand</t>
  </si>
  <si>
    <t>69.3%</t>
  </si>
  <si>
    <t>Split from multi-country row #34 (Nakayama et al. 2015). Thailand arm: 2010, N=417. SM water not published by JMP for Thailand; imputed 0. | Safely-managed water IMPUTED (model-based, not JMP-reported): regression of logit(safely-managed) on logit(at-least-basic) and logit(piped water), fitted on n=92 studies with known values (R²=0.92, leave-one-out cross-validated r=0.95, MAE=5.7pp). Point estimate 64.2% (95% imputation interval 36.3-80.7%). 20 multiple-imputation draws available separately for propagating imputation uncertainty into downstream models (see sm_imputed_draws.csv). Treat with more caution than directly JMP-reported values.</t>
  </si>
  <si>
    <t>Mathai et al.</t>
  </si>
  <si>
    <t>2011–2012</t>
  </si>
  <si>
    <t>India</t>
  </si>
  <si>
    <t>Southern Asia</t>
  </si>
  <si>
    <t>Subramanya et al.</t>
  </si>
  <si>
    <t>2018–2019</t>
  </si>
  <si>
    <t>Nepal</t>
  </si>
  <si>
    <t>Rural community</t>
  </si>
  <si>
    <t>Healthy subsistence farmers</t>
  </si>
  <si>
    <t>77.6%</t>
  </si>
  <si>
    <t>Children &gt; adults</t>
  </si>
  <si>
    <t>Livestock species comparison</t>
  </si>
  <si>
    <t>Water source (well/river/tap)</t>
  </si>
  <si>
    <t>Latrine type + OD</t>
  </si>
  <si>
    <t>Handwashing with soap</t>
  </si>
  <si>
    <t>Open defecation (OR 3.2); river water (OR 2.1); no soap (OR 2.8); livestock contact</t>
  </si>
  <si>
    <t>Age; sex</t>
  </si>
  <si>
    <t>https://pubmed.ncbi.nlm.nih.gov/33483551/</t>
  </si>
  <si>
    <t>Most comprehensive WASH data in healthy community Nepal; One Health</t>
  </si>
  <si>
    <t>2016–2017</t>
  </si>
  <si>
    <t>40</t>
  </si>
  <si>
    <t>Hamid et al.</t>
  </si>
  <si>
    <t>Indonesia</t>
  </si>
  <si>
    <t>Community (school children, S. Sulawesi)</t>
  </si>
  <si>
    <t>Unknown</t>
  </si>
  <si>
    <t>Healthy school children</t>
  </si>
  <si>
    <t>Children 6–12 y</t>
  </si>
  <si>
    <t>76.7%</t>
  </si>
  <si>
    <t>CTX-M</t>
  </si>
  <si>
    <t>School vs home</t>
  </si>
  <si>
    <t>School toilet access</t>
  </si>
  <si>
    <t>Hand hygiene</t>
  </si>
  <si>
    <t>Poor school sanitation (OR 2.4); contaminated water source</t>
  </si>
  <si>
    <t>Sex; antibiotic use</t>
  </si>
  <si>
    <t>https://doi.org/10.5812/archcid.96945</t>
  </si>
  <si>
    <t>High prevalence in Indonesian children; school WASH important</t>
  </si>
  <si>
    <t>2018 [HW-on-prem imputed Tier4: expanded region + stratum]</t>
  </si>
  <si>
    <t>C3GRE + CRE</t>
  </si>
  <si>
    <t>CTX-M, blaNDM</t>
  </si>
  <si>
    <t>42</t>
  </si>
  <si>
    <t>Yen et al.</t>
  </si>
  <si>
    <t>Healthy community members (One Health)</t>
  </si>
  <si>
    <t>CRE</t>
  </si>
  <si>
    <t>0.6%</t>
  </si>
  <si>
    <t>blaNDM</t>
  </si>
  <si>
    <t>Rural vs semi-rural</t>
  </si>
  <si>
    <t>Water source</t>
  </si>
  <si>
    <t>Animal husbandry; antibiotic use in livestock</t>
  </si>
  <si>
    <t>Individual human antibiotic use (NS)</t>
  </si>
  <si>
    <t>https://doi.org/10.1093/jacamr/dlac038</t>
  </si>
  <si>
    <t>CRE in Vietnamese rural community; livestock AMU associated; human AMU not</t>
  </si>
  <si>
    <t>Islam et al.</t>
  </si>
  <si>
    <t>USA</t>
  </si>
  <si>
    <t>Northern America</t>
  </si>
  <si>
    <t>Woerther et al.</t>
  </si>
  <si>
    <t>2006</t>
  </si>
  <si>
    <t>8.0%</t>
  </si>
  <si>
    <t>Remote Amerindian community (Trois-Sauts village, French Guiana). Revisit study: ESBL prevalence rose from 3.2% in 2001 to 8.0% in 2006. N=163 healthy adults. JMP does not model French Guiana separately; rural JMP values used (SM water 3.2% — consistent with remote village context). AMU imputed from France 2010 value (27.78 DDD/1000/day) as proxy (lavender flag); true local AMU likely much lower given village isolation and limited healthcare access. Country entry corrected from erroneous "Comoros+Madagascar".</t>
  </si>
  <si>
    <t>South America</t>
  </si>
  <si>
    <t>100</t>
  </si>
  <si>
    <t>Phenotypic + PCR + WGS</t>
  </si>
  <si>
    <t>Huang et al.</t>
  </si>
  <si>
    <t>Taiwan</t>
  </si>
  <si>
    <t>Urban vs rural</t>
  </si>
  <si>
    <t>47</t>
  </si>
  <si>
    <t>Liu et al.</t>
  </si>
  <si>
    <t>2019–2021</t>
  </si>
  <si>
    <t>China (Central South)</t>
  </si>
  <si>
    <t>Community (school children)</t>
  </si>
  <si>
    <t>Healthy children in community (primary school)</t>
  </si>
  <si>
    <t>0.9%</t>
  </si>
  <si>
    <t>CTX-M-14, CTX-M-65</t>
  </si>
  <si>
    <t>By age group</t>
  </si>
  <si>
    <t>Age &lt;3 y; daycare; antibiotic use</t>
  </si>
  <si>
    <t>https://doi.org/10.2147/IDR.S357090</t>
  </si>
  <si>
    <t>High ESBL + notable CPE in healthy Chinese children; younger at highest risk</t>
  </si>
  <si>
    <t>2020 [HW-on-prem imputed Tier4: expanded region + stratum]</t>
  </si>
  <si>
    <t>CARSS</t>
  </si>
  <si>
    <t>China</t>
  </si>
  <si>
    <t>49</t>
  </si>
  <si>
    <t>Kawata et al.</t>
  </si>
  <si>
    <t>Japan</t>
  </si>
  <si>
    <t>Community (rural city, infants)</t>
  </si>
  <si>
    <t>Healthy infants at 4-month health examination</t>
  </si>
  <si>
    <t>Infants 4 months</t>
  </si>
  <si>
    <t>19.3%</t>
  </si>
  <si>
    <t>Single age group (4-month-olds)</t>
  </si>
  <si>
    <t>Maternal antibiotic use during pregnancy; daycare</t>
  </si>
  <si>
    <t>Sex; birth order</t>
  </si>
  <si>
    <t>https://doi.org/10.3389/fcimb.2023.1168451</t>
  </si>
  <si>
    <t>Infant community carriage in rural Japan; maternal antibiotic exposure key driver</t>
  </si>
  <si>
    <t>50</t>
  </si>
  <si>
    <t>Li et al.</t>
  </si>
  <si>
    <t>2020–2021</t>
  </si>
  <si>
    <t>Community (4 provinces)</t>
  </si>
  <si>
    <t>Healthy adults from community (non-hospitalised)</t>
  </si>
  <si>
    <t>2.9%</t>
  </si>
  <si>
    <t>blaNDM, blaKPC</t>
  </si>
  <si>
    <t>Provincial comparison (4 provinces)</t>
  </si>
  <si>
    <t>Prior antibiotic use; travel history; age</t>
  </si>
  <si>
    <t>https://doi.org/10.1186/s13073-024-01310-x</t>
  </si>
  <si>
    <t>Surprisingly high CRE in healthy Chinese adults; NDM dominant NE; KPC in E China</t>
  </si>
  <si>
    <t>Tunisia</t>
  </si>
  <si>
    <t>Northern Africa</t>
  </si>
  <si>
    <t>Western Asia</t>
  </si>
  <si>
    <t>Arum et al.</t>
  </si>
  <si>
    <t>Community (urban)</t>
  </si>
  <si>
    <t>Healthy Indian subjects from community</t>
  </si>
  <si>
    <t>CRE only (CPE)</t>
  </si>
  <si>
    <t>K. pneumoniae, E. coli</t>
  </si>
  <si>
    <t>blaNDM, blaOXA-48</t>
  </si>
  <si>
    <t>Animal contact; prior antibiotic use</t>
  </si>
  <si>
    <t xml:space="preserve">https://doi.org/10.1016/j.ijmmb.2022.05.010 </t>
  </si>
  <si>
    <t>CRE-only study (no 3GCR-E/ESBL-E reported). Corrected N=1000 (was erroneously entered as 200). 61 CPE carriers (6.1%). Excluded from 3GCR-E analysis; retained for CRE panel only.</t>
  </si>
  <si>
    <t>54</t>
  </si>
  <si>
    <t>Mexico</t>
  </si>
  <si>
    <t>Central America</t>
  </si>
  <si>
    <t>57a</t>
  </si>
  <si>
    <t>Parra et al.</t>
  </si>
  <si>
    <t>2016–2019</t>
  </si>
  <si>
    <t>Bangladesh</t>
  </si>
  <si>
    <t>Community (6 LMICs)</t>
  </si>
  <si>
    <t>Healthy community participants from 6 LMICs</t>
  </si>
  <si>
    <t>ESCrE + CRE</t>
  </si>
  <si>
    <t>76.5%</t>
  </si>
  <si>
    <t>8.9%</t>
  </si>
  <si>
    <t>E. coli (dominant)</t>
  </si>
  <si>
    <t>Country-stratified: Bangladesh 79%; India 76%; Kenya 59%; Guatemala 47%; Botswana 40%; Chile 15%</t>
  </si>
  <si>
    <t>6-country comparison; urban vs rural</t>
  </si>
  <si>
    <t>Water source per country</t>
  </si>
  <si>
    <t>Sanitation access per country</t>
  </si>
  <si>
    <t>Lower income; lower sanitation access; antibiotic use</t>
  </si>
  <si>
    <t>https://doi.org/10.1038/s41598-025-94750-3</t>
  </si>
  <si>
    <t>57b-U</t>
  </si>
  <si>
    <t>Botswana</t>
  </si>
  <si>
    <t>28.3%</t>
  </si>
  <si>
    <t>Southern Africa</t>
  </si>
  <si>
    <t>57b-R</t>
  </si>
  <si>
    <t>22.3%</t>
  </si>
  <si>
    <t>57c</t>
  </si>
  <si>
    <t>Chile</t>
  </si>
  <si>
    <t>22.1%</t>
  </si>
  <si>
    <t>57d-U</t>
  </si>
  <si>
    <t>Guatemala</t>
  </si>
  <si>
    <t>45.6%</t>
  </si>
  <si>
    <t>1.5%</t>
  </si>
  <si>
    <t>57d-R</t>
  </si>
  <si>
    <t>39.3%</t>
  </si>
  <si>
    <t>57e</t>
  </si>
  <si>
    <t>75.8%</t>
  </si>
  <si>
    <t>14.2%</t>
  </si>
  <si>
    <t>57f-U</t>
  </si>
  <si>
    <t>Kenya</t>
  </si>
  <si>
    <t>50.1%</t>
  </si>
  <si>
    <t>1.0%</t>
  </si>
  <si>
    <t>57f-R</t>
  </si>
  <si>
    <t>44.3%</t>
  </si>
  <si>
    <t>Venezuela</t>
  </si>
  <si>
    <t>Prospective cohort</t>
  </si>
  <si>
    <t>https://pubmed.ncbi.nlm.nih.gov/25547265/</t>
  </si>
  <si>
    <t>Ruppé et al.</t>
  </si>
  <si>
    <t>Kuenzli et al.</t>
  </si>
  <si>
    <t>2011–2013</t>
  </si>
  <si>
    <t>Cambodia</t>
  </si>
  <si>
    <t>Iran</t>
  </si>
  <si>
    <t>Antibiotic use; animal contact</t>
  </si>
  <si>
    <t>89</t>
  </si>
  <si>
    <t>73</t>
  </si>
  <si>
    <t>van Wijk et al</t>
  </si>
  <si>
    <t>2018-2019</t>
  </si>
  <si>
    <t>Healthy residents of rural commune (Vietnam longitudinal AMR)</t>
  </si>
  <si>
    <t>94.0%</t>
  </si>
  <si>
    <t>1.9%</t>
  </si>
  <si>
    <t>National survey; province comparison</t>
  </si>
  <si>
    <t>Water access (national survey)</t>
  </si>
  <si>
    <t>Sanitation (JMP data)</t>
  </si>
  <si>
    <t>SES; region; food safety practices</t>
  </si>
  <si>
    <t>https://doi.org/10.1016/j.lanwpc.2024.101281</t>
  </si>
  <si>
    <t>Vietnam national community survey; very high C3GRE; WASH at national level</t>
  </si>
  <si>
    <t>2021 [HW-on-prem imputed Tier4: expanded region + stratum]</t>
  </si>
  <si>
    <t>2021</t>
  </si>
  <si>
    <t>74</t>
  </si>
  <si>
    <t>Thamlikitkul et al</t>
  </si>
  <si>
    <t>Community (multiple communities)</t>
  </si>
  <si>
    <t>66.5%</t>
  </si>
  <si>
    <t>Urban vs rural Thai</t>
  </si>
  <si>
    <t>Sanitation type</t>
  </si>
  <si>
    <t>Rural setting; antibiotic self-medication; animal contact</t>
  </si>
  <si>
    <t>https://doi.org/10.1093/ofid/ofz425</t>
  </si>
  <si>
    <t>Thai community ESBL as composite AMR indicator; WASH variables collected | Safely-managed water IMPUTED (model-based, not JMP-reported): regression of logit(safely-managed) on logit(at-least-basic) and logit(piped water), fitted on n=92 studies with known values (R²=0.92, leave-one-out cross-validated r=0.95, MAE=5.7pp). Point estimate 94.7% (95% imputation interval 87.3-97.9%). 20 multiple-imputation draws available separately for propagating imputation uncertainty into downstream models (see sm_imputed_draws.csv). Treat with more caution than directly JMP-reported values.</t>
  </si>
  <si>
    <t>75</t>
  </si>
  <si>
    <t>Meijs et al</t>
  </si>
  <si>
    <t>2014-17</t>
  </si>
  <si>
    <t>Community (general population, smaller survey)</t>
  </si>
  <si>
    <t>General population healthy individuals by diet: vegi, pescetarians, non vegi</t>
  </si>
  <si>
    <t>6.7%</t>
  </si>
  <si>
    <t>0.4%</t>
  </si>
  <si>
    <t>Rural vs urban; age groups</t>
  </si>
  <si>
    <t>Travel; prior antibiotic use</t>
  </si>
  <si>
    <t>https://doi.org/10.1093/jac/dkz483</t>
  </si>
  <si>
    <t>Follow-up Dutch community survey; stable prevalence ~14%</t>
  </si>
  <si>
    <t>2017</t>
  </si>
  <si>
    <t>Elderly 65+ y</t>
  </si>
  <si>
    <t>Elderly only</t>
  </si>
  <si>
    <t>84</t>
  </si>
  <si>
    <t>Zhang et al.</t>
  </si>
  <si>
    <t>Community (elderly)</t>
  </si>
  <si>
    <t>Healthy elderly from community China</t>
  </si>
  <si>
    <t>53.3%</t>
  </si>
  <si>
    <t>Urban vs rural elderly</t>
  </si>
  <si>
    <t>Antibiotic use; comorbidities; age &gt;75</t>
  </si>
  <si>
    <t>https://doi.org/10.3390/antibiotics11070953</t>
  </si>
  <si>
    <t>Elderly Chinese community; high ESBL + notable CRE; age &gt;75 key risk</t>
  </si>
  <si>
    <t>Vanavanitkun et al</t>
  </si>
  <si>
    <t>Healthy community individuals (rural Thailand)</t>
  </si>
  <si>
    <t>73.8%</t>
  </si>
  <si>
    <t>CTX-M-55, CTX-M-14, blaNDM</t>
  </si>
  <si>
    <t>Rural vs semi-urban</t>
  </si>
  <si>
    <t>Animal ownership; age &lt;5; water source</t>
  </si>
  <si>
    <t>http://doi.org/10.1016/j.respe.2018.05.440</t>
  </si>
  <si>
    <t>Safely-managed water IMPUTED (model-based, not JMP-reported): regression of logit(safely-managed) on logit(at-least-basic) and logit(piped water), fitted on n=92 studies with known values (R²=0.92, leave-one-out cross-validated r=0.95, MAE=5.7pp). Point estimate 88.5% (95% imputation interval 77.3-94.7%). 20 multiple-imputation draws available separately for propagating imputation uncertainty into downstream models (see sm_imputed_draws.csv). Treat with more caution than directly JMP-reported values.</t>
  </si>
  <si>
    <t>86</t>
  </si>
  <si>
    <t>Muleme et al</t>
  </si>
  <si>
    <t>Uganda</t>
  </si>
  <si>
    <t>Rural community (village-level)</t>
  </si>
  <si>
    <t>Healthy community individuals (Uganda village ESBL survey)</t>
  </si>
  <si>
    <t>Stool (+ urine??, mentioned in table but not in text)</t>
  </si>
  <si>
    <t>35.4%</t>
  </si>
  <si>
    <t>Village-level comparison; household clustering</t>
  </si>
  <si>
    <t>Water source (borehole/well/river)</t>
  </si>
  <si>
    <t>Animal contact; water source; household crowding</t>
  </si>
  <si>
    <t>https://doi.org/10.1371/journal.pgph.0001344</t>
  </si>
  <si>
    <t>Ugandan rural village community; moderate WASH data; household clustering important</t>
  </si>
  <si>
    <t>Latifpour et al. (Iran general population)</t>
  </si>
  <si>
    <t>Healthy individuals from community Iran</t>
  </si>
  <si>
    <t>28.4%</t>
  </si>
  <si>
    <t>CTX-M-15, TEM, SHV</t>
  </si>
  <si>
    <t>https://pubmed.ncbi.nlm.nih.gov/?term=Latifpour+Iran+ESBL+community+2022</t>
  </si>
  <si>
    <t>Iranian community; moderate ESBL; no WASH variables</t>
  </si>
  <si>
    <t>ESBL E. coli</t>
  </si>
  <si>
    <t>Phenotypic + DDST</t>
  </si>
  <si>
    <t>Raffelsberger et al.</t>
  </si>
  <si>
    <t>Community (national surveillance)</t>
  </si>
  <si>
    <t>Large nationally representative community sample (Norway)</t>
  </si>
  <si>
    <t>180</t>
  </si>
  <si>
    <t>3.6%</t>
  </si>
  <si>
    <t>Regional comparison within Norway</t>
  </si>
  <si>
    <t>Age; prior antibiotic use; travel</t>
  </si>
  <si>
    <t>https://pubmed.ncbi.nlm.nih.gov/37306968/</t>
  </si>
  <si>
    <t>Largest European community ESBL survey (n=4999); nationally representative; JBI score 9</t>
  </si>
  <si>
    <t>Valia et al.</t>
  </si>
  <si>
    <t>2021-2022</t>
  </si>
  <si>
    <t>Cross-sectional household survey (HDSS-based random sampling)</t>
  </si>
  <si>
    <t>Rural (Nanoro health district, 2 catchment areas)</t>
  </si>
  <si>
    <t>Healthy community residents randomly selected from HDSS; all ages</t>
  </si>
  <si>
    <t>All ages (0–4, 5–17, 18–49, ≥50)</t>
  </si>
  <si>
    <t>ESBL-E (ESBL-EC + ESBL-KP reported separately)</t>
  </si>
  <si>
    <t>61.3%</t>
  </si>
  <si>
    <t xml:space="preserve">0.07% </t>
  </si>
  <si>
    <t>blaCTX-M-15 (84.6% of ESBL-EC; 91.9% of ESBL-KP by WGS); blaNDM-5 in 1 EC</t>
  </si>
  <si>
    <t>Yes (Table 2: 0–4=54.7%, 5–17=59.7%, 18–49=68.0%, ≥50=63.6%; age significant in univariate only)</t>
  </si>
  <si>
    <t>Yes (female 62.0% vs male 60.4%, NS)</t>
  </si>
  <si>
    <t>Season (rainy 70.2% vs dry 53.6%); health area (Nanoro 65.9% vs Nazoanga 53.0%); SES quintile; occupation</t>
  </si>
  <si>
    <t>Drinking water source (tap/borehole vs protected/unprotected well): NS in multivariate (p=0.96)</t>
  </si>
  <si>
    <t>Latrine type (open air vs unimproved vs improved): significant univariate, NS in multivariate (p=0.59)</t>
  </si>
  <si>
    <t>Handwashing with soap before meals: strongly protective (aOR 0.4, 95% CI 0.3–0.6, p&lt;0.001)</t>
  </si>
  <si>
    <t>Poor handwashing (aOR 0.4 protective), rainy season (aOR 1.7), lowest SES quintile (aOR 1.6), Nanoro health area (aOR 1.3)</t>
  </si>
  <si>
    <t>Antibiotic use last 3 months (p=0.60), hospitalization (p=0.65), livestock proximity (p=0.30), drinking water source (p=0.96), sex (p=0.50)</t>
  </si>
  <si>
    <t>CHROMagar ESBL selective agar + double disk synergy test (DDST/CLSI 2023); MIC microdilution (subset n=124); WGS (n=89: 52 EC + 37 KP)</t>
  </si>
  <si>
    <t>https://doi.org/10.1016/j.cmi.2026.01.001</t>
  </si>
  <si>
    <t>Largest rural West African community ESBL study (n=1482, HDSS-based GPS-random sampling). ESBL-E 61.3%, nearly 3× the 2014 urban Burkina Faso estimate (22%). Unique rainy-season peak (70.2% vs 53.6%) not explained by antibiotic use — likely environmental/surface-runoff route. blaNDM-5 in 1 EC despite no local carbapenem use (likely urban-acquired). High-risk clones ST410 and ST131 detected. Strong WASH signal: handwashing protective. IncF plasmids predominant. Co-location of ESBL + PMQR genes on plasmids (qnr in 48.1% EC). ESCMID Global 2025 poster P1884. | Safely-managed water IMPUTED (model-based, not JMP-reported): regression of logit(safely-managed) on logit(at-least-basic) and logit(piped water), fitted on n=92 studies with known values (R²=0.92, leave-one-out cross-validated r=0.95, MAE=5.7pp). Point estimate 3.8% (95% imputation interval 0.7-10.4%). 20 multiple-imputation draws available separately for propagating imputation uncertainty into downstream models (see sm_imputed_draws.csv). Treat with more caution than directly JMP-reported values.</t>
  </si>
  <si>
    <t>112</t>
  </si>
  <si>
    <t>Tellevik et al.</t>
  </si>
  <si>
    <t>Healthy children &lt;2 years recruited at vaccine visits, Dar es Salaam</t>
  </si>
  <si>
    <t>Children (&lt;2 years)</t>
  </si>
  <si>
    <t>Community vs. hospitalised: 11.6% vs 50.4% (p&lt;0.001)</t>
  </si>
  <si>
    <t>HIV+ vs HIV- among hospitalised children (89.7% vs 16.9%)</t>
  </si>
  <si>
    <t>HIV-positive status; antibiotic use in past 14 days; age &lt;1 year</t>
  </si>
  <si>
    <t>ChromID ESBL agar + disc diffusion + RT-PCR/sequencing (CTX-M, CMY-2)</t>
  </si>
  <si>
    <t>https://pubmed.ncbi.nlm.nih.gov/27936054/</t>
  </si>
  <si>
    <t>Community arm only (n=250 of 603 total); hospitalized children excluded from this dataset. DOI: 10.1371/journal.pone.0168024. PLoS ONE.</t>
  </si>
  <si>
    <t>113</t>
  </si>
  <si>
    <t>Moremi et al.</t>
  </si>
  <si>
    <t>Street children, Mwanza city</t>
  </si>
  <si>
    <t>Children (street-dwelling)</t>
  </si>
  <si>
    <t>E. coli (83.3%), K. pneumoniae (16.7%)</t>
  </si>
  <si>
    <t>Day+night on streets vs daytime only (OR 3.6 for full-time)</t>
  </si>
  <si>
    <t>Use of local herbs (OR 3.5); spending day and night on streets (OR 3.6)</t>
  </si>
  <si>
    <t>Stool culture + chromogenic agar + disc diffusion + PCR + MLST</t>
  </si>
  <si>
    <t>https://pubmed.ncbi.nlm.nih.gov/28898269/</t>
  </si>
  <si>
    <t>Street children with rare healthcare contact. 36 isolates from 34 children. DOI: 10.1371/journal.pone.0184592. PLoS ONE.</t>
  </si>
  <si>
    <t>[Hob]</t>
  </si>
  <si>
    <t>Weisenberg et al.</t>
  </si>
  <si>
    <t>Non-traveller adults in New York City</t>
  </si>
  <si>
    <t>CTX-M (NR)</t>
  </si>
  <si>
    <t>International travel (travellers vs non-travellers)</t>
  </si>
  <si>
    <t>Culture + phenotypic confirmation</t>
  </si>
  <si>
    <t>https://pubmed.ncbi.nlm.nih.gov/22383988/</t>
  </si>
  <si>
    <t>Non-traveller control group of travel-focused study (PLoS One 2012). N=60 community controls; 1/60 (1.67%) ESBL-positive. Hobson S3 Table.</t>
  </si>
  <si>
    <t>CDC</t>
  </si>
  <si>
    <t>Lübbert et al.</t>
  </si>
  <si>
    <t>Community adults (non-travellers, control arm)</t>
  </si>
  <si>
    <t>Stool/Rectal swab</t>
  </si>
  <si>
    <t>ESBL Enterobacterales</t>
  </si>
  <si>
    <t>Chromogenic agar + phenotypic confirmation</t>
  </si>
  <si>
    <t>Community arm of travellers study (Int J Med Microbiol 2015). Note: DB Ref 60 records pre-travel prevalence (N=221, 3.2%) from same paper; this row reports community control group (N=205, 6.83%) as listed in Hobson S3. [Hob] tag added.</t>
  </si>
  <si>
    <t>Guimarães et al.</t>
  </si>
  <si>
    <t>Healthy adults in community</t>
  </si>
  <si>
    <t>Culture + phenotypic (double-disc synergy)</t>
  </si>
  <si>
    <t>https://pubmed.ncbi.nlm.nih.gov/19155343/</t>
  </si>
  <si>
    <t>Early Portuguese community carriage study. Hobson S3. [Hob] tag.</t>
  </si>
  <si>
    <t>JMP 2025 (approx)</t>
  </si>
  <si>
    <t>van Kleef-van Koeveringe et al.</t>
  </si>
  <si>
    <t>Belgium</t>
  </si>
  <si>
    <t>Day-care centres (DCCs)</t>
  </si>
  <si>
    <t>Children in 18 day-care centres (DCCs), Flanders</t>
  </si>
  <si>
    <t>Children</t>
  </si>
  <si>
    <t>DCC-level clustering</t>
  </si>
  <si>
    <t>Day-care attendance, antibiotic use</t>
  </si>
  <si>
    <t>Chromogenic agar + PCR confirmation</t>
  </si>
  <si>
    <t>https://pubmed.ncbi.nlm.nih.gov/36525893/</t>
  </si>
  <si>
    <t>Epidemiology and molecular typing of MDR bacteria in day-care centres in Flanders, Belgium (J Antimicrob Chemother 2023). Hobson S3. [Hob] tag.</t>
  </si>
  <si>
    <t>Ruh et al.</t>
  </si>
  <si>
    <t>Cyprus</t>
  </si>
  <si>
    <t>Culture + phenotypic + PCR</t>
  </si>
  <si>
    <t>https://pubmed.ncbi.nlm.nih.gov/30990553/</t>
  </si>
  <si>
    <t>Community ESBL carriage study, Cyprus 2017 (Microb Drug Resist 2019). Hobson S3. [Hob] tag.</t>
  </si>
  <si>
    <t>Dall et al.</t>
  </si>
  <si>
    <t>2014–2017</t>
  </si>
  <si>
    <t>https://pubmed.ncbi.nlm.nih.gov/30715022/</t>
  </si>
  <si>
    <t>Danish community carriage study (Infect Dis (Lond) 2019). Hobson S3. [Hob] tag.</t>
  </si>
  <si>
    <t>Meyer et al.</t>
  </si>
  <si>
    <t>https://pubmed.ncbi.nlm.nih.gov/22718587/</t>
  </si>
  <si>
    <t>German community carriage study (Infection 2012). Hobson S3. [Hob] tag.</t>
  </si>
  <si>
    <t>Rámila et al.</t>
  </si>
  <si>
    <t>Healthy adults in community (Spain)</t>
  </si>
  <si>
    <t>Antibiotic use, hospital admission</t>
  </si>
  <si>
    <t>Community prevalence study, Spain 2014–2015 (listed as Rámila et al. 2018 in Hobson S3). Hobson S3. [Hob] tag. PMID to verify.</t>
  </si>
  <si>
    <t>EARS-Net</t>
  </si>
  <si>
    <t>López-Siles et al.</t>
  </si>
  <si>
    <t>Community/Schools</t>
  </si>
  <si>
    <t>Healthy schoolchildren aged 3–13 years</t>
  </si>
  <si>
    <t>School-level</t>
  </si>
  <si>
    <t>Antibiotic use prior 3 months</t>
  </si>
  <si>
    <t>Age, sex</t>
  </si>
  <si>
    <t>Chromogenic agar + PCR + WGS</t>
  </si>
  <si>
    <t>https://pubmed.ncbi.nlm.nih.gov/36959404/</t>
  </si>
  <si>
    <t>Fecal carriage of ESBL-producing Enterobacterales in healthy Spanish schoolchildren (J Antimicrob Chemother 2023). Hobson S3. [Hob] tag.</t>
  </si>
  <si>
    <t>Kaarme et al.</t>
  </si>
  <si>
    <t>Healthy children in community (preschool age)</t>
  </si>
  <si>
    <t>Antibiotic use, travel</t>
  </si>
  <si>
    <t>https://pubmed.ncbi.nlm.nih.gov/24033571/</t>
  </si>
  <si>
    <t>Swedish paediatric community cohort (Pediatr Infect Dis J 2013/2014). Hobson S3. [Hob] tag.</t>
  </si>
  <si>
    <t>Healthy children in community (follow-up cohort)</t>
  </si>
  <si>
    <t>Temporal trend (2010 vs 2016)</t>
  </si>
  <si>
    <t>https://pubmed.ncbi.nlm.nih.gov/29228209/</t>
  </si>
  <si>
    <t>Swedish paediatric community cohort follow-up 2016 (Pediatr Infect Dis J 2018). 5-fold rise from 2010 cohort (Ref 124). Hobson S3. [Hob] tag.</t>
  </si>
  <si>
    <t>Ny et al.</t>
  </si>
  <si>
    <t>Healthy adults and children in community (population-based)</t>
  </si>
  <si>
    <t>Mixed</t>
  </si>
  <si>
    <t>Travel, antibiotic use</t>
  </si>
  <si>
    <t>https://pubmed.ncbi.nlm.nih.gov/27039991/</t>
  </si>
  <si>
    <t>Population-based cross-sectional study Sweden 2012–2013 (APMIS 2016). Hobson S3. [Hob] tag.</t>
  </si>
  <si>
    <t>Sadahira et al.</t>
  </si>
  <si>
    <t>Community/Outpatient clinic</t>
  </si>
  <si>
    <t>Healthy adults attending outpatient clinic</t>
  </si>
  <si>
    <t>Antibiotic use, age, travel</t>
  </si>
  <si>
    <t>https://pubmed.ncbi.nlm.nih.gov/28126063/</t>
  </si>
  <si>
    <t>Community ESBL carriage, Japan outpatient clinic 2013–2015 (J Infect Chemother 2017). Hobson S3. [Hob] tag.</t>
  </si>
  <si>
    <t>Nakane et al.</t>
  </si>
  <si>
    <t>Healthy adults in community (population-based)</t>
  </si>
  <si>
    <t>Age, sex, antibiotic use</t>
  </si>
  <si>
    <t>https://pubmed.ncbi.nlm.nih.gov/26811338/</t>
  </si>
  <si>
    <t>Large population-based community study, Japan 2010–2011 (J Infect Chemother 2016). Hobson S3. [Hob] tag.</t>
  </si>
  <si>
    <t>Kennedy &amp; Collignon</t>
  </si>
  <si>
    <t>2008–2009</t>
  </si>
  <si>
    <t>Australia</t>
  </si>
  <si>
    <t>https://pubmed.ncbi.nlm.nih.gov/20883261/</t>
  </si>
  <si>
    <t>Community ESBL carriage study, Australia 2008–2009 (J Antimicrob Chemother 2010). Hobson S3. [Hob] tag. | Safely-managed water IMPUTED (model-based, not JMP-reported): regression of logit(safely-managed) on logit(at-least-basic) and logit(piped water), fitted on n=92 studies with known values (R²=0.92, leave-one-out cross-validated r=0.95, MAE=5.7pp). Point estimate 97.4% (95% imputation interval 93.5-100.0%). 20 multiple-imputation draws available separately for propagating imputation uncertainty into downstream models (see sm_imputed_draws.csv). Treat with more caution than directly JMP-reported values.</t>
  </si>
  <si>
    <t>Australia and New Zealand</t>
  </si>
  <si>
    <t>Kamei et al.</t>
  </si>
  <si>
    <t>Community/Clinic</t>
  </si>
  <si>
    <t>Healthy adults attending community clinic</t>
  </si>
  <si>
    <t>Antibiotic use, age</t>
  </si>
  <si>
    <t>https://pubmed.ncbi.nlm.nih.gov/27473579/</t>
  </si>
  <si>
    <t>Community ESBL carriage, Japan 2013–2015 (J Infect Chemother 2017 or similar). Hobson S3. [Hob] tag.</t>
  </si>
  <si>
    <t>Higa et al.</t>
  </si>
  <si>
    <t>Community/Outpatient</t>
  </si>
  <si>
    <t>Community ESBL carriage study, Japan 2017 (Hobson S3). PMID to verify. [Hob] tag.</t>
  </si>
  <si>
    <t>Nakamura et al.</t>
  </si>
  <si>
    <t>Healthy adults and children in community</t>
  </si>
  <si>
    <t>Community ESBL carriage study, Japan 2011–2012 (Hobson S3). PMID to verify. [Hob] tag.</t>
  </si>
  <si>
    <t>Mo et al.</t>
  </si>
  <si>
    <t>Singapore</t>
  </si>
  <si>
    <t>Travel, antibiotic use, age</t>
  </si>
  <si>
    <t>https://pubmed.ncbi.nlm.nih.gov/30990557/</t>
  </si>
  <si>
    <t>Community ESBL carriage, Singapore 2016–2017 (Antimicrob Resist Infect Control 2019). Hobson S3. [Hob] tag.</t>
  </si>
  <si>
    <t>Joo et al.</t>
  </si>
  <si>
    <t>Community ESBL carriage study, South Korea 2014 (Hobson S3). PMID to verify. [Hob] tag.</t>
  </si>
  <si>
    <t>Wu et al.</t>
  </si>
  <si>
    <t>Healthy adults in community (Taiwan)</t>
  </si>
  <si>
    <t>Community ESBL carriage study, Taiwan 2016–2017 (Hobson S3). PMID to verify. [Hob] tag.</t>
  </si>
  <si>
    <t>Taiwan national stats (year-matched 2017)</t>
  </si>
  <si>
    <t>Healthy community children (Taiwan)</t>
  </si>
  <si>
    <t>Culture + phenotypic + PCR + WGS</t>
  </si>
  <si>
    <t>https://pubmed.ncbi.nlm.nih.gov/31748241/</t>
  </si>
  <si>
    <t>Fecal carriage of MDR E. coli in community children, southern Taiwan 2017–2018 (Kaohsiung J Med Sci 2020). DISTINCT from Ref 46 (Huang 2018, N=347, ESBL 33.1%). Hobson S3. [Hob] tag.</t>
  </si>
  <si>
    <t>Taiwan national stats (year-matched 2018)</t>
  </si>
  <si>
    <t>Ding et al.</t>
  </si>
  <si>
    <t>Healthy adults (Singaporeans, gut microbiota study)</t>
  </si>
  <si>
    <t>Culture + phenotypic + WGS + mcr-1 screening</t>
  </si>
  <si>
    <t>https://pubmed.ncbi.nlm.nih.gov/33495449/</t>
  </si>
  <si>
    <t>ESBL-PE and mcr-1-positive E. coli from gut microbiota of healthy Singaporeans (Microb Genomics 2021). Hobson S3. [Hob] tag.</t>
  </si>
  <si>
    <t>Kader &amp; Kamath</t>
  </si>
  <si>
    <t>Saudi Arabia</t>
  </si>
  <si>
    <t>Healthy adults in community (Saudi Arabia)</t>
  </si>
  <si>
    <t>Culture + phenotypic confirmation (DDST)</t>
  </si>
  <si>
    <t>https://pubmed.ncbi.nlm.nih.gov/19767965/</t>
  </si>
  <si>
    <t>Community ESBL carriage, Saudi Arabia 2006–2007 (J Infect Dev Ctries 2009). Hobson S3. [Hob] tag. | Safely-managed water IMPUTED (model-based, not JMP-reported): regression of logit(safely-managed) on logit(at-least-basic) and logit(piped water), fitted on n=92 studies with known values (R²=0.92, leave-one-out cross-validated r=0.95, MAE=5.7pp). Point estimate 91.0% (95% imputation interval 77.7-97.9%). 20 multiple-imputation draws available separately for propagating imputation uncertainty into downstream models (see sm_imputed_draws.csv). Treat with more caution than directly JMP-reported values.</t>
  </si>
  <si>
    <t>Elkersh et al.</t>
  </si>
  <si>
    <t>Community ESBL carriage, Saudi Arabia 2012–2013 (Hobson S3). PMID to verify. [Hob] tag. | Safely-managed water IMPUTED (model-based, not JMP-reported): regression of logit(safely-managed) on logit(at-least-basic) and logit(piped water), fitted on n=92 studies with known values (R²=0.92, leave-one-out cross-validated r=0.95, MAE=5.7pp). Point estimate 92.5% (95% imputation interval 85.1-98.6%). 20 multiple-imputation draws available separately for propagating imputation uncertainty into downstream models (see sm_imputed_draws.csv). Treat with more caution than directly JMP-reported values.</t>
  </si>
  <si>
    <t>[Lewis]</t>
  </si>
  <si>
    <t>Senegal</t>
  </si>
  <si>
    <t>Community (remote villages)</t>
  </si>
  <si>
    <t>Children in remote villages</t>
  </si>
  <si>
    <t>Drigalski + chromagar; double disc synergy</t>
  </si>
  <si>
    <t>https://pubmed.ncbi.nlm.nih.gov/19115455/</t>
  </si>
  <si>
    <t>Earliest SSA community carriage study; remote village children, Senegal (Clin Microbiol Infect 2009). Lewis 2019 community cohort. N=20. [L19] tag. | JMP water &amp; sanitation linked using YEAR OF PUBLICATION (2009) as a proxy, since year of sample collection is not reported (NR); Senegal rural stratum. Both ladders sum to 100%.</t>
  </si>
  <si>
    <t>2009</t>
  </si>
  <si>
    <t>Community (students)</t>
  </si>
  <si>
    <t>University students in community, Ngaoundere</t>
  </si>
  <si>
    <t>MacConkey/Drigalski + cephalosporin; MALDI-TOF; double disc</t>
  </si>
  <si>
    <t>https://doi.org/10.1186/1471-2334-12-53</t>
  </si>
  <si>
    <t>Community arm of Lonchel 2012 (BMC Infect Dis 2012). Student population, Ngaoundere. Lewis 2019 community cohort. [L19] tag. | Safely-managed water IMPUTED (model-based, not JMP-reported): regression of logit(safely-managed) on logit(at-least-basic) and logit(piped water), fitted on n=92 studies with known values (R²=0.92, leave-one-out cross-validated r=0.95, MAE=5.7pp). Point estimate 45.9% (95% imputation interval 21.8-71.1%). 20 multiple-imputation draws available separately for propagating imputation uncertainty into downstream models (see sm_imputed_draws.csv). Treat with more caution than directly JMP-reported values.</t>
  </si>
  <si>
    <t>Albrechtová et al.</t>
  </si>
  <si>
    <t>General population adults, Kenya</t>
  </si>
  <si>
    <t>MacConkey + cephalosporin; API; double disc</t>
  </si>
  <si>
    <t>https://pubmed.ncbi.nlm.nih.gov/22984631/</t>
  </si>
  <si>
    <t>Small community prevalence study, Kenya 2009 (PLoS One 2012). N=23. Lewis 2019 community cohort. [L19] tag. | Safely-managed water IMPUTED (model-based, not JMP-reported): regression of logit(safely-managed) on logit(at-least-basic) and logit(piped water), fitted on n=92 studies with known values (R²=0.92, leave-one-out cross-validated r=0.95, MAE=5.7pp). Point estimate 11.8% (95% imputation interval 3.2-25.7%). 20 multiple-imputation draws available separately for propagating imputation uncertainty into downstream models (see sm_imputed_draws.csv). Treat with more caution than directly JMP-reported values.</t>
  </si>
  <si>
    <t>Chéreau et al.</t>
  </si>
  <si>
    <t>Madagascar</t>
  </si>
  <si>
    <t>Pregnant women at time of delivery</t>
  </si>
  <si>
    <t>18.5%</t>
  </si>
  <si>
    <t>Study area (region)</t>
  </si>
  <si>
    <t>Water source (private inside access)</t>
  </si>
  <si>
    <t>Private inside access to drinking water (protective)</t>
  </si>
  <si>
    <t>Antibiotic use, hospitalisation</t>
  </si>
  <si>
    <t>Drigalski + cephalosporin; API; double disc</t>
  </si>
  <si>
    <t>http://doi.org/10.1128/AAC.00029-15</t>
  </si>
  <si>
    <t>Community pregnant women, Madagascar 2013–14 (Clin Microbiol Infect 2015). Water source associated with carriage. Lewis 2019 community cohort. [L19] tag.</t>
  </si>
  <si>
    <t>Ribeiro et al.</t>
  </si>
  <si>
    <t>Angola</t>
  </si>
  <si>
    <t>Adults without recent antibiotic/hospital exposure, Angola</t>
  </si>
  <si>
    <t>Chromagar; MALDI-TOF; PCR</t>
  </si>
  <si>
    <t>https://pubmed.ncbi.nlm.nih.gov/27556893/</t>
  </si>
  <si>
    <t>Community carriage in adults without recent antibiotic/hospital exposure, Angola 2013 (Antimicrob Resist Infect Control 2016). N=18 community arm. Lewis 2019 community cohort. [L19] tag. | Safely-managed water IMPUTED (model-based, not JMP-reported): regression of logit(safely-managed) on logit(at-least-basic) and logit(piped water), fitted on n=92 studies with known values (R²=0.92, leave-one-out cross-validated r=0.95, MAE=5.7pp). Point estimate 13.3% (95% imputation interval 3.3-41.9%). 20 multiple-imputation draws available separately for propagating imputation uncertainty into downstream models (see sm_imputed_draws.csv). Treat with more caution than directly JMP-reported values.</t>
  </si>
  <si>
    <t>General population (adults and children), Mwanza</t>
  </si>
  <si>
    <t>Age, region</t>
  </si>
  <si>
    <t>Older age, hospital admission last year, antibiotics last 3m</t>
  </si>
  <si>
    <t>CHROMagar ESBL (France), VITEK-2 system, PCR</t>
  </si>
  <si>
    <t>https://pubmed.ncbi.nlm.nih.gov/27215780/</t>
  </si>
  <si>
    <t>Community carriage, Mwanza Tanzania 2014 (BMC Infect Dis 2016). Age and antibiotic use significant risk factors. Lewis 2019 community cohort. [L19] tag.</t>
  </si>
  <si>
    <t>Farra et al.</t>
  </si>
  <si>
    <t>Central African Republic</t>
  </si>
  <si>
    <t>Healthy children 0–59 months, Bangui (diarrhoea study controls)</t>
  </si>
  <si>
    <t>SES</t>
  </si>
  <si>
    <t>Highest SES class vs lowest (OR 31.06)</t>
  </si>
  <si>
    <t>Age, gender, animals, toilets, urban/rural</t>
  </si>
  <si>
    <t>CHROMagar ESBL; double disc</t>
  </si>
  <si>
    <t>https://pubmed.ncbi.nlm.nih.gov/27404368/</t>
  </si>
  <si>
    <t>One of highest community ESBL prevalences globally; healthy children recruited as controls in diarrhoea study, Bangui CAR 2013 (Clin Microbiol Infect 2016). CTX-M-15 dominant; ST131 prevalent. Lewis 2019 community cohort. [L19] tag.</t>
  </si>
  <si>
    <t>Chirindze et al.</t>
  </si>
  <si>
    <t>Mozambique</t>
  </si>
  <si>
    <t>University students in community, Mozambique</t>
  </si>
  <si>
    <t>Community student carriage, Mozambique 2016 (Chirindze et al. 2018). PMID to verify. Lewis 2019 community cohort. [L19] tag.</t>
  </si>
  <si>
    <t>Katakweba et al.</t>
  </si>
  <si>
    <t>General population adults, Tanzania</t>
  </si>
  <si>
    <t>MacConkey + cephalosporin; MALDI-TOF; double disc</t>
  </si>
  <si>
    <t>https://pubmed.ncbi.nlm.nih.gov/30594182/</t>
  </si>
  <si>
    <t>Community carriage, Tanzania 2011–13 (J Glob Antimicrob Resist 2018/2019). Lewis 2019 community cohort. [L19] tag.</t>
  </si>
  <si>
    <t>Sanneh et al.</t>
  </si>
  <si>
    <t>The Gambia</t>
  </si>
  <si>
    <t>Community (schools – food handlers)</t>
  </si>
  <si>
    <t>Food handlers in lower basic schools, West Coast Region, The Gambia</t>
  </si>
  <si>
    <t>Food handling training/knowledge</t>
  </si>
  <si>
    <t>Antibiotic use last 3m; lack of food handling training</t>
  </si>
  <si>
    <t>Drigalski + cefotaxime; double disc</t>
  </si>
  <si>
    <t>https://pubmed.ncbi.nlm.nih.gov/30102698/</t>
  </si>
  <si>
    <t>Food handler carriage in school food handlers, Gambia 2015 (PLoS One 2018). Largest SSA community study in Lewis SR. Low prevalence (5%). Lewis 2019 community cohort. [L19] tag.</t>
  </si>
  <si>
    <t>United States of America</t>
  </si>
  <si>
    <t>healthy controls in the New Vaccine Surveillance Network study</t>
  </si>
  <si>
    <t>3GCR Enterobacteriaceae</t>
  </si>
  <si>
    <t>CHROMagar ESBL </t>
  </si>
  <si>
    <t>https://pubmed.ncbi.nlm.nih.gov/28992133/</t>
  </si>
  <si>
    <t>JMP-linked (matched United States of America, 2015, stratum=t) | Piped/quality-component JMP-linked (matched United States of America, 2015, stratum=t) | Safely-managed sanitation JMP-linked (matched United States of America, 2015, stratum=t)</t>
  </si>
  <si>
    <t>WHO/UNICEF JMP 2025 (total)</t>
  </si>
  <si>
    <t>2009–2012</t>
  </si>
  <si>
    <t>6.3%</t>
  </si>
  <si>
    <t>https://doi.org/10.1128/AAC.01993-13</t>
  </si>
  <si>
    <t>JMP-linked (matched Germany, 2012, stratum=t) | Piped/quality-component JMP-linked (matched Germany, 2012, stratum=t) | Safely-managed sanitation JMP-linked (matched Germany, 2012, stratum=t)</t>
  </si>
  <si>
    <t>Healthy adults who visited the IPC check-up centre</t>
  </si>
  <si>
    <t>https://doi.org/10.1093/jac/dks429</t>
  </si>
  <si>
    <t>JMP-linked (matched France, 2011, stratum=t) | Piped/quality-component JMP-linked (matched France, 2011, stratum=t) | Safely-managed sanitation JMP-linked (matched France, 2011, stratum=t)</t>
  </si>
  <si>
    <t>Healthy individuals</t>
  </si>
  <si>
    <t>https://pmc.ncbi.nlm.nih.gov/articles/PMC2593250/</t>
  </si>
  <si>
    <t>JMP-linked (matched France, 2006, stratum=u) AMU value is IMPUTED: linear trend fit on France DID data 2010-2021 (n=12 yrs, R²=0.65), extrapolated 4y back to 2006. Confidence: Moderate. Not an empirical observation - exclude in sensitivity analysis if desired. | Piped/quality-component JMP-linked (matched France, 2006, stratum=u) | Safely-managed sanitation JMP-linked (matched France, 2006, stratum=t). Flags: proxy-total</t>
  </si>
  <si>
    <t>154a</t>
  </si>
  <si>
    <t>2.1%</t>
  </si>
  <si>
    <t>https://doi.org/10.1016/j.patbio.2010.07.012</t>
  </si>
  <si>
    <t>JMP-linked (matched France, 1999, stratum=t) | Flags: water:nearest-year(2000); san:nearest-year(2000) AMU value is IMPUTED: linear trend fit on France DID data 2010-2021 (n=12 yrs, R²=0.65), extrapolated 11y back to 1999. Confidence: Low. Not an empirical observation - exclude in sensitivity analysis if desired. | Piped/quality-component JMP-linked (matched France, 1999, stratum=t) | Flags: nearest-year(2000) | Safely-managed sanitation JMP-linked (matched France, 1999, stratum=t). Flags: nearest-year(2000)</t>
  </si>
  <si>
    <t>154b</t>
  </si>
  <si>
    <t>4.2%</t>
  </si>
  <si>
    <t>JMP-linked (matched France, 2009, stratum=t) AMU value is IMPUTED: linear trend fit on France DID data 2010-2021 (n=12 yrs, R²=0.65), extrapolated 1y back to 2009. Confidence: High. Not an empirical observation - exclude in sensitivity analysis if desired. | Piped/quality-component JMP-linked (matched France, 2009, stratum=t) | Safely-managed sanitation JMP-linked (matched France, 2009, stratum=t)</t>
  </si>
  <si>
    <t>Healthy job applicants</t>
  </si>
  <si>
    <t>https://pubmed.ncbi.nlm.nih.gov/26982242/</t>
  </si>
  <si>
    <t>JMP-linked (matched Hungary, 2014, stratum=t) | Piped/quality-component JMP-linked (matched Hungary, 2014, stratum=t) | Safely-managed sanitation JMP-linked (matched Hungary, 2014, stratum=t)</t>
  </si>
  <si>
    <t>4.9%</t>
  </si>
  <si>
    <t>https://doi.org/10.1186/s13756-016-0156-x</t>
  </si>
  <si>
    <t>JMP-linked (matched Norway, 2016, stratum=t) | Piped/quality-component JMP-linked (matched Norway, 2016, stratum=t) | Safely-managed sanitation JMP-linked (matched Norway, 2016, stratum=t)</t>
  </si>
  <si>
    <t>2003</t>
  </si>
  <si>
    <t>3.7%</t>
  </si>
  <si>
    <t>https://doi.org/10.1128/JCM.42.10.4769-4775.2004</t>
  </si>
  <si>
    <t>JMP-linked (matched Spain, 2003, stratum=t) AMU value is IMPUTED: linear trend fit on Spain DID data 2010-2022 (n=13 yrs, R²=0.18), extrapolated 7y back to 2003. Confidence: Low. Not an empirical observation - exclude in sensitivity analysis if desired. | Piped/quality-component JMP-linked (matched Spain, 2003, stratum=t) | Safely-managed sanitation JMP-linked (matched Spain, 2003, stratum=t)</t>
  </si>
  <si>
    <t>158a</t>
  </si>
  <si>
    <t>Non-institutionalised community residents, all ages (1 per household)</t>
  </si>
  <si>
    <t>50.9%</t>
  </si>
  <si>
    <t>0.2%</t>
  </si>
  <si>
    <t>Korle-Gonno 56.4%; Tamale 63.7% (combine as needed)</t>
  </si>
  <si>
    <t>Household toilet facility protective (AOR 0.71, 95% CI 0.48–0.99); antibiotic use past 3 months (AOR 3.61, 2.23–5.31); age &gt;65y (AOR 3.76, 2.64–5.71) — pooled across all 3 sites, not site-stratified</t>
  </si>
  <si>
    <t>Not listed (no PMID found in text) — https://doi.org/10.1016/j.diagmicrobio.2023.115918</t>
  </si>
  <si>
    <t>chromogenic Staten’s Serum Institute (SSI) Enteric Media (SSI Diagnostica, Denmark) with 10 mg cefpodoxime tablets</t>
  </si>
  <si>
    <t>https://doi.org/10.1016/j.diagmicrobio.2023.115918</t>
  </si>
  <si>
    <t>JMP-linked (matched Ghana, 2011, stratum=u) AMU value is a NEIGHBOUR-COUNTRY PROXY: Ghana has no AMU data in either source. Used Benin instead (n=7 yrs of data, R²=0.20), method=nearest-year-flat(trend implausible). This is a geographic substitute, NOT a measurement of Ghana itself - treat as low-confidence / for sensitivity analysis only. | Piped/quality-component JMP-linked (matched Ghana, 2011, stratum=u) | Safely-managed sanitation JMP-linked (matched Ghana, 2011, stratum=u)</t>
  </si>
  <si>
    <t>158b</t>
  </si>
  <si>
    <t>44.2%</t>
  </si>
  <si>
    <t>0.5%</t>
  </si>
  <si>
    <t>50.7%</t>
  </si>
  <si>
    <t>(same pooled model, not site-stratified)</t>
  </si>
  <si>
    <t>same</t>
  </si>
  <si>
    <t>JMP-linked (matched Ghana, 2011, stratum=r) AMU value is a NEIGHBOUR-COUNTRY PROXY: Ghana has no AMU data in either source. Used Benin instead (n=7 yrs of data, R²=0.20), method=nearest-year-flat(trend implausible). This is a geographic substitute, NOT a measurement of Ghana itself - treat as low-confidence / for sensitivity analysis only. | Piped/quality-component JMP-linked (matched Ghana, 2011, stratum=r) | Safely-managed sanitation JMP-linked (matched Ghana, 2011, stratum=r)</t>
  </si>
  <si>
    <t>[Bez]</t>
  </si>
  <si>
    <t>Herindrainy et al.</t>
  </si>
  <si>
    <t>2015-2016</t>
  </si>
  <si>
    <t>Healthy pregnant women</t>
  </si>
  <si>
    <t>Stool and rectal swabs</t>
  </si>
  <si>
    <t>19.6%</t>
  </si>
  <si>
    <t>CHROMagar ESBL (France), DDST</t>
  </si>
  <si>
    <t>https://doi.org/10.1371/journal.pone.0193325</t>
  </si>
  <si>
    <t>JMP-linked (matched Madagascar, 2016, stratum=u) | AMU value = flat average of Tanzania GLASS 2020-2022 (29.00, 36.19, 34.52 DID; mean=33.24). 2017 excluded as outlier (119.1 DID, implausible); 2018-2019 also excluded per user request (values judged unstable/inconsistent with 2020-2022). See README/Legend tab for full AMU methodology. | Piped/quality-component JMP-linked (matched Madagascar, 2016, stratum=u) | Safely-managed sanitation JMP-linked (matched Madagascar, 2016, stratum=u)</t>
  </si>
  <si>
    <t>healthy volunteers</t>
  </si>
  <si>
    <t>21.8%</t>
  </si>
  <si>
    <t>bioMe´rieux ESBL agar plates (France), DDST, PCR</t>
  </si>
  <si>
    <t>https://doi.org/10.1089/mdr.2015.0356</t>
  </si>
  <si>
    <t>JMP-linked (matched Burkina Faso, 2014, stratum=u) | Flags: water:SM-not-modelled AMU value is IMPUTED: linear trend fit on Burkina Faso DID data 2017-2018 (n=2 yrs, R²=1.00), extrapolated 3y back to 2014. Confidence: Low. Not an empirical observation - exclude in sensitivity analysis if desired. | Piped/quality-component JMP-linked (matched Burkina Faso, 2014, stratum=u) | Flags: component-unavailable | Safely-managed water IMPUTED (model-based, not JMP-reported): regression of logit(safely-managed) on logit(at-least-basic) and logit(piped water), fitted on n=92 studies with known values (R²=0.92, leave-one-out cross-validated r=0.95, MAE=5.7pp). Point estimate 44.3% (95% imputation interval 20.1-83.9%). 20 multiple-imputation draws available separately for propagating imputation uncertainty into downstream models (see sm_imputed_draws.csv). Treat with more caution than directly JMP-reported values. | Safely-managed sanitation JMP-linked (matched Burkina Faso, 2014, stratum=u)</t>
  </si>
  <si>
    <t>Kurz et al.</t>
  </si>
  <si>
    <t>caregivers of patients recruited within 48 h of admission</t>
  </si>
  <si>
    <t>37.4%</t>
  </si>
  <si>
    <t>CHROMagar-ESBL Mast Diagnostica (Germany), ESBL-AmpC-Detection Test Mast Diagnostica</t>
  </si>
  <si>
    <t>https://doi.org/10.1111/tmi.12824</t>
  </si>
  <si>
    <t>JMP-linked (matched Rwanda, 2014, stratum=u) | AMU value = flat average of Tanzania GLASS 2020-2022 (29.00, 36.19, 34.52 DID; mean=33.24). 2017 excluded as outlier (119.1 DID, implausible); 2018-2019 also excluded per user request (values judged unstable/inconsistent with 2020-2022). See README/Legend tab for full AMU methodology. | Piped/quality-component JMP-linked (matched Rwanda, 2014, stratum=u) | Safely-managed sanitation ESTIMATED (not directly JMP-modelled for Rwanda urban/total): JMP models safely-managed sanitation for Rwanda's RURAL stratum only (2014: 50.44% of the 68.15% with at-least-basic sanitation, i.e. 74.0% of at-least-basic achieves safely-managed status). This ratio was applied to Rwanda's own URBAN at-least-basic sanitation (58.69%) to give an implied urban safely-managed estimate of 43.4%. This assumes the rural quality-gap ratio transfers to urban areas, which may not hold (urban sanitation infrastructure often differs systematically from rural in ways affecting safely-managed status) - treat as a rough proxy, not a JMP-reported value.</t>
  </si>
  <si>
    <t>Mahamat et al.</t>
  </si>
  <si>
    <t>health staff and university students</t>
  </si>
  <si>
    <t>38.0%</t>
  </si>
  <si>
    <t>BioMérieux ESBL agar plates (</t>
  </si>
  <si>
    <t>https://doi.org/10.1186/s13756-019-0626-z</t>
  </si>
  <si>
    <t>JMP-linked (matched Chad, 2017, stratum=u) AMU value is a NEIGHBOUR-COUNTRY PROXY: Chad has no AMU data in either source. Used Sudan instead (n=1 yrs of data), method=nearest-year-flat. This is a geographic substitute, NOT a measurement of Chad itself - treat as low-confidence / for sensitivity analysis only. | Piped/quality-component JMP-linked (matched Chad, 2017, stratum=u) | Safely-managed sanitation JMP-linked (matched Chad, 2017, stratum=u)</t>
  </si>
  <si>
    <t>Büdel et al.</t>
  </si>
  <si>
    <t>hotel employees in Zanzibar</t>
  </si>
  <si>
    <t>98.3%</t>
  </si>
  <si>
    <t>BioMe´rieux ChromID ESBL (France), PCR</t>
  </si>
  <si>
    <t>https://doi.org/10.1093/jac/dkz296</t>
  </si>
  <si>
    <t>JMP-linked (matched United Republic of Tanzania, 2018, stratum=u) | AMU value = flat average of Tanzania GLASS 2020-2022 (29.00, 36.19, 34.52 DID; mean=33.24). 2017 excluded as outlier (119.1 DID, implausible); 2018-2019 also excluded per user request (values judged unstable/inconsistent with 2020-2022). See README/Legend tab for full AMU methodology. | Piped/quality-component JMP-linked (matched United Republic of Tanzania, 2018, stratum=u) | Safely-managed sanitation JMP-linked (matched United Republic of Tanzania, 2018, stratum=u)</t>
  </si>
  <si>
    <t>Akinduti et al.</t>
  </si>
  <si>
    <t>Nigeria</t>
  </si>
  <si>
    <t>community residents</t>
  </si>
  <si>
    <t>ESBL enteric bacilli</t>
  </si>
  <si>
    <t>3.4</t>
  </si>
  <si>
    <t>X, carriage prevalence not directly presented</t>
  </si>
  <si>
    <t>starch-iodide paperacidometric method,double disc method, PCR</t>
  </si>
  <si>
    <t>https://doi.org/10.2147/IDR.S178243</t>
  </si>
  <si>
    <t>JMP-linked (matched Nigeria, 2016, stratum=t) AMU value is a NEIGHBOUR-COUNTRY PROXY: Nigeria has no AMU data in either source. Used Benin instead (n=7 yrs of data), method=exact-year. This is a geographic substitute, NOT a measurement of Nigeria itself - treat as low-confidence / for sensitivity analysis only. | All-species count set equal to E. coli count (14), consistent with the convention used for other studies where E. coli was the only organism reported (118 other rows already follow this convention). | Piped/quality-component JMP-linked (matched Nigeria, 2016, stratum=t) | Safely-managed sanitation JMP-linked (matched Nigeria, 2016, stratum=t)</t>
  </si>
  <si>
    <t>[Bez] - corrected estimates</t>
  </si>
  <si>
    <t>Guyana</t>
  </si>
  <si>
    <t>healthy adults</t>
  </si>
  <si>
    <t>Chemunex ESBL plates (France), DDST, PCR</t>
  </si>
  <si>
    <t>https://dx.doi.org/10.1086/654883</t>
  </si>
  <si>
    <t>Araque et al.</t>
  </si>
  <si>
    <t>healthy children</t>
  </si>
  <si>
    <t>Children 1-5 years</t>
  </si>
  <si>
    <t>"faecal samples"</t>
  </si>
  <si>
    <t>34.6</t>
  </si>
  <si>
    <t>MacConkey agar plates with cefotaxime (2 mg/L), VITEK 2 system,PCR</t>
  </si>
  <si>
    <t>https://doi.org/10.24171/j.phrp.2018.9.1.03</t>
  </si>
  <si>
    <t>JMP-linked (matched Venezuela (Bolivarian Republic of), 2015, stratum=t) | Flags: water:proxy-total; water:SM-not-modelled; san:proxy-total AMU value is a NEIGHBOUR-COUNTRY PROXY: Venezuela has no AMU data in either source. Used Colombia instead (n=8 yrs of data), method=exact-year. This is a geographic substitute, NOT a measurement of Venezuela itself - treat as low-confidence / for sensitivity analysis only. | Piped/quality-component JMP-linked (matched Venezuela (Bolivarian Republic of), 2015, stratum=t) | Flags: proxy-total; component-unavailable | Safely-managed water IMPUTED (model-based, not JMP-reported): regression of logit(safely-managed) on logit(at-least-basic) and logit(piped water), fitted on n=92 studies with known values (R²=0.92, leave-one-out cross-validated r=0.95, MAE=5.7pp). Point estimate 76.9% (95% imputation interval 60.7-92.3%). 20 multiple-imputation draws available separately for propagating imputation uncertainty into downstream models (see sm_imputed_draws.csv). Treat with more caution than directly JMP-reported values. | Safely-managed sanitation JMP-linked (matched Venezuela (Bolivarian Republic of), 2015, stratum=t). Flags: proxy-total</t>
  </si>
  <si>
    <t>World Economic Forum</t>
  </si>
  <si>
    <t>Cortés-Cortés et al.</t>
  </si>
  <si>
    <t>healthy volunteers (age range 15–60 years)</t>
  </si>
  <si>
    <t>Adults (15-60 years)</t>
  </si>
  <si>
    <t>3GCR E. coli</t>
  </si>
  <si>
    <t>18.3%</t>
  </si>
  <si>
    <t>disk containig lactamaseinhibitr +PCR</t>
  </si>
  <si>
    <t>https://doi.org/10.1016/j.jgar.2017.02.014</t>
  </si>
  <si>
    <t>JMP-linked (matched Mexico, 2012, stratum=u) | Flags: water:SM-not-modelled | Piped/quality-component JMP-linked (matched Mexico, 2012, stratum=u) | Flags: component-unavailable | Safely-managed water IMPUTED (model-based, not JMP-reported): regression of logit(safely-managed) on logit(at-least-basic) and logit(piped water), fitted on n=92 studies with known values (R²=0.92, leave-one-out cross-validated r=0.95, MAE=5.7pp). Point estimate 91.5% (95% imputation interval 75.1-97.6%). 20 multiple-imputation draws available separately for propagating imputation uncertainty into downstream models (see sm_imputed_draws.csv). Treat with more caution than directly JMP-reported values. | Safely-managed sanitation JMP-linked (matched Mexico, 2012, stratum=u)</t>
  </si>
  <si>
    <t>Luvsansharav et al.</t>
  </si>
  <si>
    <t>Healthy individuals in rural Thailand</t>
  </si>
  <si>
    <t>65.7%</t>
  </si>
  <si>
    <t>MacConkey with cefotaxime 2 mg /ml, DDST, PCR confirmation</t>
  </si>
  <si>
    <t>https://doi.org/10.1093/jac/dks118</t>
  </si>
  <si>
    <t>JMP-linked (matched Thailand, 2010, stratum=r) | Flags: water:SM-not-modelled | Piped/quality-component JMP-linked (matched Thailand, 2010, stratum=r) | Flags: component-unavailable | Safely-managed water IMPUTED (model-based, not JMP-reported): regression of logit(safely-managed) on logit(at-least-basic) and logit(piped water), fitted on n=92 studies with known values (R²=0.92, leave-one-out cross-validated r=0.95, MAE=5.7pp). Point estimate 69.0% (95% imputation interval 41.0-87.7%). 20 multiple-imputation draws available separately for propagating imputation uncertainty into downstream models (see sm_imputed_draws.csv). Treat with more caution than directly JMP-reported values. | Safely-managed sanitation JMP-linked (matched Thailand, 2010, stratum=r)</t>
  </si>
  <si>
    <t>Babu et al.</t>
  </si>
  <si>
    <t>2011-2013</t>
  </si>
  <si>
    <t>healthy individuals/health check-up</t>
  </si>
  <si>
    <t>33.8%</t>
  </si>
  <si>
    <t>MacConkey with 1ug/ml ceftazidime, PCR</t>
  </si>
  <si>
    <t>https://doi.org/10.1016/j.jgar.2016.05.007</t>
  </si>
  <si>
    <t>JMP-linked (matched India, 2013, stratum=u) | Piped/quality-component JMP-linked (matched India, 2013, stratum=u) | Safely-managed sanitation JMP-linked (matched India, 2013, stratum=u)</t>
  </si>
  <si>
    <t>2005-2007</t>
  </si>
  <si>
    <t>Healthy Volunteers</t>
  </si>
  <si>
    <t>"fecal sample"</t>
  </si>
  <si>
    <t>19.1%</t>
  </si>
  <si>
    <t>MacConkey with Ceftazidime (2ug/ul), DDST, PCR</t>
  </si>
  <si>
    <t>https://doi.org/10.1089/mdr.2014.0031</t>
  </si>
  <si>
    <t>JMP-linked (matched India, 2007, stratum=t) AMU value is IMPUTED: linear trend fit on India DID data 2010-2021 (n=12 yrs, R²=0.71), extrapolated 3y back to 2007. Confidence: High. Not an empirical observation - exclude in sensitivity analysis if desired. | Piped/quality-component JMP-linked (matched India, 2007, stratum=t) | Safely-managed sanitation JMP-linked (matched India, 2007, stratum=t)</t>
  </si>
  <si>
    <t>Maharjan et al.</t>
  </si>
  <si>
    <t>healthy adults (health science students)</t>
  </si>
  <si>
    <t>9.8%</t>
  </si>
  <si>
    <t>X, not selective media, potentially biasing the estimate to the lower end</t>
  </si>
  <si>
    <t>DDST, PCR</t>
  </si>
  <si>
    <t>https://doi.org/10.2147/IDR.S156593</t>
  </si>
  <si>
    <t>JMP-linked (matched Nepal, 2016, stratum=t) | Piped/quality-component JMP-linked (matched Nepal, 2016, stratum=t) | Safely-managed sanitation JMP-linked (matched Nepal, 2016, stratum=t)</t>
  </si>
  <si>
    <t>2012-2013</t>
  </si>
  <si>
    <t>Pretravel for all age groups</t>
  </si>
  <si>
    <t>2.8</t>
  </si>
  <si>
    <t>BioMérieux chromID® ESBL (France), Vitek-2® system, PCR</t>
  </si>
  <si>
    <t>JMP-linked (matched Switzerland, 2013, stratum=t) | CORRECTED: originally force-excluded as a 'traveller cohort' - this was an error. Population is 'pretravel' (baseline testing before departure), i.e. home-country community carriage, not carriage acquired abroad. Re-included in primary analysis. | All-species count set equal to E. coli count (5), consistent with the convention used for other studies where E. coli was the only organism reported (118 other rows already follow this convention). | Piped/quality-component JMP-linked (matched Switzerland, 2013, stratum=t) | Safely-managed sanitation JMP-linked (matched Switzerland, 2013, stratum=t)</t>
  </si>
  <si>
    <t>2007-2008</t>
  </si>
  <si>
    <t>Cross- sectional</t>
  </si>
  <si>
    <t>"fecal samples"</t>
  </si>
  <si>
    <t>2.7%</t>
  </si>
  <si>
    <t>Levine agar plates with 2mg/L cefotaxime, DDST, PCR</t>
  </si>
  <si>
    <t>https://doi.org/10.1089/mdr.2009.0910</t>
  </si>
  <si>
    <t>JMP-linked (matched Portugal, 2008, stratum=u) AMU value is IMPUTED: linear trend fit on Portugal DID data 2010-2022 (n=13 yrs, R²=0.71), extrapolated 2y back to 2008. Confidence: High. Not an empirical observation - exclude in sensitivity analysis if desired. | Piped/quality-component JMP-linked (matched Portugal, 2008, stratum=u) | Safely-managed sanitation JMP-linked (matched Portugal, 2008, stratum=u)</t>
  </si>
  <si>
    <t>Rahman and El-Sherif</t>
  </si>
  <si>
    <t>2010-2011</t>
  </si>
  <si>
    <t>Egypt</t>
  </si>
  <si>
    <t>Asymptomatic individuals attending check-up clinic</t>
  </si>
  <si>
    <t>63.3%</t>
  </si>
  <si>
    <t>MacConkey with 1ug/ml of cefotaxime, DDST</t>
  </si>
  <si>
    <t>https://doi.org/10.2310/JIM.0b013e318238748e</t>
  </si>
  <si>
    <t>JMP-linked (matched Egypt, 2011, stratum=u) | Flags: water:SM-not-modelled | Piped/quality-component JMP-linked (matched Egypt, 2011, stratum=u) | Flags: component-unavailable | Safely-managed water IMPUTED (model-based, not JMP-reported): regression of logit(safely-managed) on logit(at-least-basic) and logit(piped water), fitted on n=92 studies with known values (R²=0.92, leave-one-out cross-validated r=0.95, MAE=5.7pp). Point estimate 96.8% (95% imputation interval 92.0-99.5%). 20 multiple-imputation draws available separately for propagating imputation uncertainty into downstream models (see sm_imputed_draws.csv). Treat with more caution than directly JMP-reported values. | Safely-managed sanitation JMP-linked (matched Egypt, 2011, stratum=u)</t>
  </si>
  <si>
    <t>Hashemizadeh et al.</t>
  </si>
  <si>
    <t>2014-2015</t>
  </si>
  <si>
    <t>Volunteers with digestive problems</t>
  </si>
  <si>
    <t>X, not healthy individuals (they have digestive problems)</t>
  </si>
  <si>
    <t>https://doi.org/10.1590/0037-8682-0080-2017</t>
  </si>
  <si>
    <t>JMP-linked (matched Iran (Islamic Republic of), 2015, stratum=t) AMU value is IMPUTED: linear trend fit on Iran DID data 2020-2022 (n=3 yrs, R²=0.99), extrapolated 5y back to 2015. Confidence: Low. Not an empirical observation - exclude in sensitivity analysis if desired. | All-species count set equal to E. coli count (48), consistent with the convention used for other studies where E. coli was the only organism reported (118 other rows already follow this convention). | Piped/quality-component JMP-linked (matched Iran (Islamic Republic of), 2015, stratum=t)</t>
  </si>
  <si>
    <t>BARGUIGUA et al.</t>
  </si>
  <si>
    <t>Morocco</t>
  </si>
  <si>
    <t>healthy humans in community</t>
  </si>
  <si>
    <t>4.3%</t>
  </si>
  <si>
    <t>K. pneumoniae, Enterobacter cloacae</t>
  </si>
  <si>
    <t>MacConkey (cefotaxime or ceftazidime 1mg/L), DDST</t>
  </si>
  <si>
    <t>https://doi.org/10.3109/00365548.2014.961542</t>
  </si>
  <si>
    <t>JMP-linked (matched Morocco, 2013, stratum=u) | Piped/quality-component JMP-linked (matched Morocco, 2013, stratum=u) | Safely-managed sanitation JMP-linked (matched Morocco, 2013, stratum=u)</t>
  </si>
  <si>
    <t>Moubareck et al.</t>
  </si>
  <si>
    <t>Lebanon</t>
  </si>
  <si>
    <t>Healthy subjects</t>
  </si>
  <si>
    <t>Rectal swabs</t>
  </si>
  <si>
    <t>2.4%</t>
  </si>
  <si>
    <t>https://doi.org/10.1128/jcm.43.7.3309-3313.2005</t>
  </si>
  <si>
    <t>JMP-linked (matched Lebanon, 2003, stratum=t) | Flags: water:proxy-total; san:proxy-total AMU value is IMPUTED: linear trend fit on Lebanon DID data 2010-2021 (n=12 yrs, R²=0.07), extrapolated 7y back to 2003. Confidence: Low. Not an empirical observation - exclude in sensitivity analysis if desired. | Piped/quality-component JMP-linked (matched Lebanon, 2003, stratum=t) | Flags: proxy-total | Safely-managed sanitation JMP-linked (matched Lebanon, 2003, stratum=t). Flags: proxy-total</t>
  </si>
  <si>
    <t>Hijazi et al.</t>
  </si>
  <si>
    <t>healthy infants (1-12 month)</t>
  </si>
  <si>
    <t>Children 1-12 months</t>
  </si>
  <si>
    <t>49.6%</t>
  </si>
  <si>
    <t>https://doi.org/10.3855/jidc.7593</t>
  </si>
  <si>
    <t>JMP-linked (matched Lebanon, 2013, stratum=t) | Piped/quality-component JMP-linked (matched Lebanon, 2013, stratum=t) | Safely-managed sanitation JMP-linked (matched Lebanon, 2013, stratum=t)</t>
  </si>
  <si>
    <t>179a</t>
  </si>
  <si>
    <t>Ferjani et al.</t>
  </si>
  <si>
    <t>healthy children at school</t>
  </si>
  <si>
    <t>15.2%</t>
  </si>
  <si>
    <t>cefotaxime (2µg/ml), DDST, PCR</t>
  </si>
  <si>
    <t>https://doi.org/10.1016/j.diagmicrobio.2016.03.008</t>
  </si>
  <si>
    <t>JMP-linked (matched Tunisia, 2013, stratum=u) | Piped/quality-component JMP-linked (matched Tunisia, 2013, stratum=u) | Safely-managed sanitation JMP-linked (matched Tunisia, 2013, stratum=u)</t>
  </si>
  <si>
    <t>179b</t>
  </si>
  <si>
    <t>JMP-linked (matched Tunisia, 2013, stratum=r) | Piped/quality-component JMP-linked (matched Tunisia, 2013, stratum=r) | Safely-managed sanitation JMP-linked (matched Tunisia, 2013, stratum=r)</t>
  </si>
  <si>
    <t>Tian et al.</t>
  </si>
  <si>
    <t>Elderly people with age more than 65 in the community</t>
  </si>
  <si>
    <t>EMB with 1ug cefotaxime, VITEK 2 system (bioMérieux, Marcy l’Etoile, France), PCR</t>
  </si>
  <si>
    <t>https://doi.org/10.1139/W08-059</t>
  </si>
  <si>
    <t>JMP-linked (matched China, 2007, stratum=u) AMU value is IMPUTED: linear trend fit on China DID data 2010-2021 (n=12 yrs, R²=0.38), extrapolated 3y back to 2007. Confidence: Moderate. Not an empirical observation - exclude in sensitivity analysis if desired. | Piped/quality-component JMP-linked (matched China, 2007, stratum=u) | Safely-managed sanitation JMP-linked (matched China, 2007, stratum=u)</t>
  </si>
  <si>
    <t>Zhou et al.</t>
  </si>
  <si>
    <t>healthy asymptomatic adults (Pre-employment)</t>
  </si>
  <si>
    <t>69.5%</t>
  </si>
  <si>
    <t>ChromID ESBL agar (bioM e´rieux, Marcy l’Etoile, France), DDST, PCR</t>
  </si>
  <si>
    <t>https://doi.org/10.1089/mdr.2014.0201</t>
  </si>
  <si>
    <t>JMP-linked (matched China, 2012, stratum=u) | Piped/quality-component JMP-linked (matched China, 2012, stratum=u) | Safely-managed sanitation JMP-linked (matched China, 2012, stratum=u)</t>
  </si>
  <si>
    <t>Qin et al.</t>
  </si>
  <si>
    <t>2008-2011</t>
  </si>
  <si>
    <t>7.3%</t>
  </si>
  <si>
    <t>ESBL scre, Disk diffusion, PCR</t>
  </si>
  <si>
    <t>https://doi.org/10.1371/journal.pone.0061169</t>
  </si>
  <si>
    <t>JMP-linked (matched China, 2011, stratum=u) | Piped/quality-component JMP-linked (matched China, 2011, stratum=u) | Safely-managed sanitation JMP-linked (matched China, 2011, stratum=u)</t>
  </si>
  <si>
    <t>Nhi et al.</t>
  </si>
  <si>
    <t>prospective cohort</t>
  </si>
  <si>
    <t>healthy children (urban)</t>
  </si>
  <si>
    <t>80.3%</t>
  </si>
  <si>
    <t>MacConkey with ceftriaxone 6mg/L, PCR</t>
  </si>
  <si>
    <t>https://doi.org/10.1099/jmm.0.000820</t>
  </si>
  <si>
    <t>JMP-linked (matched Viet Nam, 2016, stratum=u) | Piped/quality-component JMP-linked (matched Viet Nam, 2016, stratum=u) | Safely-managed sanitation JMP-linked (matched Viet Nam, 2016, stratum=u)</t>
  </si>
  <si>
    <t>Healthy subjects attending annual P/E</t>
  </si>
  <si>
    <t>50.5%</t>
  </si>
  <si>
    <t>MacConkey with 1 mg/L cefotaxime or 1 mg/L ceftazidime, PCR</t>
  </si>
  <si>
    <t>https://repository.lsu.edu/ag_exst_pubs/482/</t>
  </si>
  <si>
    <t>JMP-linked (matched China, 2009, stratum=u) AMU value is IMPUTED: linear trend fit on China DID data 2010-2021 (n=12 yrs, R²=0.38), extrapolated 1y back to 2009. Confidence: Moderate. Not an empirical observation - exclude in sensitivity analysis if desired. | Piped/quality-component JMP-linked (matched China, 2009, stratum=u) | Safely-managed sanitation JMP-linked (matched China, 2009, stratum=u)</t>
  </si>
  <si>
    <t>Atterby et al.</t>
  </si>
  <si>
    <t>Persons from 10 households in 10 villages of Cambodia</t>
  </si>
  <si>
    <t>3GCR E. coli&amp;Klebsiella pneumoniae</t>
  </si>
  <si>
    <t>20.0%</t>
  </si>
  <si>
    <t>chromID OXA-48 (BioMérieux), chromID CARBA (BioMérieux) and C3GR CHROMag), PCR</t>
  </si>
  <si>
    <t>https://doi.org/10.1111/zph.12612</t>
  </si>
  <si>
    <t>JMP-linked (matched Cambodia, 2011, stratum=r) AMU value is a NEIGHBOUR-COUNTRY PROXY: Cambodia has no AMU data in either source. Used Thailand instead (n=10 yrs of data), method=exact-year. This is a geographic substitute, NOT a measurement of Cambodia itself - treat as low-confidence / for sensitivity analysis only. | Piped/quality-component JMP-linked (matched Cambodia, 2011, stratum=r) | Safely-managed sanitation JMP-linked (matched Cambodia, 2011, stratum=r)</t>
  </si>
  <si>
    <t>Ni et al.</t>
  </si>
  <si>
    <t>Cross sectional</t>
  </si>
  <si>
    <t>healthy individuals in six communities /check-up</t>
  </si>
  <si>
    <t>30.5%</t>
  </si>
  <si>
    <t>MacConkey with 4 µg/ml cefotaxime, CHROMagar ESBL plates (Mei xiang, China), PCR</t>
  </si>
  <si>
    <t>https://doi.org/10.1016/j.diagmicrobio.2016.07.010</t>
  </si>
  <si>
    <t>JMP-linked (matched China, 2014, stratum=u) | Piped/quality-component JMP-linked (matched China, 2014, stratum=u) | Safely-managed sanitation JMP-linked (matched China, 2014, stratum=u)</t>
  </si>
  <si>
    <t>Lewis et al.</t>
  </si>
  <si>
    <t>Adult (≥16 years) community members not receiving antibiotics</t>
  </si>
  <si>
    <t>Adults (≥16y)</t>
  </si>
  <si>
    <t>CHROMagar ESBL</t>
  </si>
  <si>
    <t>https://doi.org/10.1038/s41564-022-01216-7</t>
  </si>
  <si>
    <t>JMP-linked (matched Malawi, 2018, stratum=u) | AMU value = flat average of Tanzania GLASS 2020-2022 (29.00, 36.19, 34.52 DID; mean=33.24). 2017 excluded as outlier (119.1 DID, implausible); 2018-2019 also excluded per user request (values judged unstable/inconsistent with 2020-2022). See README/Legend tab for full AMU methodology. | Piped/quality-component JMP-linked (matched Malawi, 2018, stratum=u) | Safely-managed sanitation JMP-linked (matched Malawi, 2018, stratum=u)</t>
  </si>
  <si>
    <t>VERSION NOTES</t>
  </si>
  <si>
    <t>SCOPE</t>
  </si>
  <si>
    <t>• Population: Healthy individuals (not hospitalised; asymptomatic community)</t>
  </si>
  <si>
    <t>• Specimen: Stool sample or rectal swab</t>
  </si>
  <si>
    <t>• Pathogen: ESBL-E (any species), CRE/CPE, or E. coli 3GC-resistant</t>
  </si>
  <si>
    <t>• Pre-travel baseline samples from traveller studies INCLUDED (pre-travel = community prevalence)</t>
  </si>
  <si>
    <t>• Post-travel samples EXCLUDED from colonisation prevalence (acquisition studies)</t>
  </si>
  <si>
    <t>• Studies with BOTH healthy+diseased populations: healthy arm only extracted if separable</t>
  </si>
  <si>
    <t xml:space="preserve">  [New] = Added from primary literature not in above SRs (2021–2025)</t>
  </si>
  <si>
    <t>PRIMARY source: WHO GLASS (GLASS_percentages_3GCRE.xlsx), country x year, 2016-2023.</t>
  </si>
  <si>
    <t>SUBSTITUTE sources, used only for the 3 countries GLASS does not cover among Spain/USA/China:</t>
  </si>
  <si>
    <t xml:space="preserve">  Spain: EARS-Net, invasive-isolate 3GC-R E. coli, 2019-2023 (BSI-equivalent).</t>
  </si>
  <si>
    <t xml:space="preserve">  USA:   CDC, extended-spectrum cephalosporin resistance, clinical E. coli, 2022-2023</t>
  </si>
  <si>
    <t xml:space="preserve">         (all specimen types pooled, NOT bloodstream-specific).</t>
  </si>
  <si>
    <t xml:space="preserve">  China: CARSS national surveillance, 2019-2020 (all specimen types pooled, NOT bloodstream-specific).</t>
  </si>
  <si>
    <t>ESBL-E Fecal Colonization Dataset — Colour Legend &amp; Data Source Notes</t>
  </si>
  <si>
    <t>Unnamed: 1</t>
  </si>
  <si>
    <t>Unnamed: 2</t>
  </si>
  <si>
    <t>Unnamed: 3</t>
  </si>
  <si>
    <t>Unnamed: 4</t>
  </si>
  <si>
    <t>Column / Cell type</t>
  </si>
  <si>
    <t>Background colour</t>
  </si>
  <si>
    <t>Text colour</t>
  </si>
  <si>
    <t>Meaning</t>
  </si>
  <si>
    <t>When applied</t>
  </si>
  <si>
    <t>AMU (DDD/1000/day)</t>
  </si>
  <si>
    <t>#FFFFFF</t>
  </si>
  <si>
    <t>#333333</t>
  </si>
  <si>
    <t>── ANTIBIOTIC USE ──</t>
  </si>
  <si>
    <t>AMU — Wang 2025 / OWID (measured)</t>
  </si>
  <si>
    <t>Original measured value from Wang et al. 2025 (Lancet GH) Table S5 or OWID CSV dataset</t>
  </si>
  <si>
    <t>Primary source matched to study year</t>
  </si>
  <si>
    <t>AMU — clamped (Wang/OWID)</t>
  </si>
  <si>
    <t>#FCE4D6</t>
  </si>
  <si>
    <t>#7B3F00</t>
  </si>
  <si>
    <t>Measured value but year clamped to edge of source range (2010 or 2021 for Wang; 2016–2022 for OWID). Asterisk (*) in year column.</t>
  </si>
  <si>
    <t>Study year outside source coverage; nearest boundary used</t>
  </si>
  <si>
    <t>AMU — external lit. imputed</t>
  </si>
  <si>
    <t>#D8CCFF</t>
  </si>
  <si>
    <t>#4A0080</t>
  </si>
  <si>
    <t>Imputed from external literature: MAAP country reports, Browne et al. 2021 (Lancet), WHO GLASS, Wirtz 2013, Lim 2020 et al. Temporal interpolation/extrapolation via WLS linear fit across 2–5 anchor points.</t>
  </si>
  <si>
    <t>14 countries absent from Wang 2025 and OWID</t>
  </si>
  <si>
    <t>── WASH INDICATORS (JMP 2025) ──</t>
  </si>
  <si>
    <t>WASH — JMP measured</t>
  </si>
  <si>
    <t>Directly measured JMP 2025 estimate matched to study year and urban/rural stratum</t>
  </si>
  <si>
    <t>Most rows; primary data source</t>
  </si>
  <si>
    <t>WASH — HI country (imputed to 100)</t>
  </si>
  <si>
    <t>#FFE066</t>
  </si>
  <si>
    <t>Imputed to 100% for high-income countries where JMP does not publish modelled estimates (assumed universal access). Countries: Switzerland, Denmark, Sweden, Netherlands, Norway, Finland, Japan, South Korea, Qatar, France (SM sanitation), Taiwan.</t>
  </si>
  <si>
    <t>155 cells across HI countries</t>
  </si>
  <si>
    <t>WASH — HW on premises: Tier 4 expanded region</t>
  </si>
  <si>
    <t>#FFF2CC</t>
  </si>
  <si>
    <t>#7F6000</t>
  </si>
  <si>
    <t>Handwashing facility on premises (col 44) only. JMP does not publish this indicator for China, SE Asia (Vietnam, Thailand, Cambodia, Indonesia), or Middle Africa (Chad, Cameroon). Imputed as median of same-stratum countries from nearest region with data.
• SE/E Asia (urban): median of Southern Asia urban (India, Nepal, Bangladesh), n=9, range 78–89%
• SE/E Asia (rural): median of Southern Asia rural (India, Nepal), n=2, range 61–64%
• Middle Africa (urban): median of Eastern + Western Africa urban, n=17, range 84–92%</t>
  </si>
  <si>
    <t>18 cells; all Tier 4 (no same-country or exact subregion data available)</t>
  </si>
  <si>
    <t>── UN M49 SUBREGION (col 50) ──</t>
  </si>
  <si>
    <t>UN M49 — Western/Northern/Southern/Eastern Europe</t>
  </si>
  <si>
    <t>#843C0C</t>
  </si>
  <si>
    <t>Europe subregions</t>
  </si>
  <si>
    <t>UN M49 — Eastern/Western/Middle/Southern/Northern Africa</t>
  </si>
  <si>
    <t>#C6EFCE</t>
  </si>
  <si>
    <t>#375623</t>
  </si>
  <si>
    <t>Africa subregions</t>
  </si>
  <si>
    <t>UN M49 — Southern/South-eastern/Eastern/Western Asia</t>
  </si>
  <si>
    <t>#BDD7EE</t>
  </si>
  <si>
    <t>#1F4E79</t>
  </si>
  <si>
    <t>Asia subregions</t>
  </si>
  <si>
    <t>UN M49 — South/Central/Northern America</t>
  </si>
  <si>
    <t>#EDE7F6</t>
  </si>
  <si>
    <t>#4A148C</t>
  </si>
  <si>
    <t>Americas subregions</t>
  </si>
  <si>
    <t>── GENERAL ──</t>
  </si>
  <si>
    <t>N/A or multi-country</t>
  </si>
  <si>
    <t>#F2F2F2</t>
  </si>
  <si>
    <t>#888888</t>
  </si>
  <si>
    <t>Row not imputable: multi-country studies (e.g. FMT Europe/USA) or country not classifiable</t>
  </si>
  <si>
    <t>Row 75 (FMT multi-country)</t>
  </si>
  <si>
    <t>All WASH and AMU fields left blank — specific constituent countries not identified in publication</t>
  </si>
  <si>
    <t>Water Quality Index (WQI)</t>
  </si>
  <si>
    <t>#EBF3FB</t>
  </si>
  <si>
    <t>Derived score 0–100 summarising overall water access quality. Formula: WQI = (4·SM + 3·piped-not-SM + 2·basic-not-piped + 1·limited + 0·unimproved) / 4. 0 = entire population on unimproved/surface water; 100 = entire population on safely managed water. Based on JMP ladder rung weights.</t>
  </si>
  <si>
    <t>Col 54; derived from cols 38–40, 51–53</t>
  </si>
  <si>
    <t>WASH WATER LADDER, GRANULAR STRATUM-MATCHED (cols BD-BK)</t>
  </si>
  <si>
    <t>WAT granular - JMP measured</t>
  </si>
  <si>
    <t>Stratum-specific (urban/rural) JMP value for: wat_imp_qual, wat_pip, wat_sm, wat_basal, wat_lim, wat_ns, wat_unimp. Year = highest year in Year(s) Sample Collection; matched exactly to JMP 2000-2024 series.</t>
  </si>
  <si>
    <t>WAT granular - HI country imputed (Taiwan)</t>
  </si>
  <si>
    <t>Taiwan not modelled by JMP; imputed as 100% (basic/SM/piped/quality) and 0% (limited/unimproved/surface water), consistent with high-income-country assumption used elsewhere in this dataset.</t>
  </si>
  <si>
    <t>Taiwan rows</t>
  </si>
  <si>
    <t>WAT granular - proxy / assumption used</t>
  </si>
  <si>
    <t>A proxy was substituted for the exact value: (a) Urban/Rural Setting was not a clean Urban/Rural value (e.g. Peri-urban, Mixed, Unknown, NR) so the national TOTAL estimate was used instead of a stratum-specific one; (b) Country label is a subnational region/sub-population (e.g. China Central South, Tanzania Mwanza/Zanzibar, Ethiopia Somali region) so the national estimate was used as best-available proxy; (c) study population is travellers/expatriates, so the listed home country was used as an exposure proxy; (d) sample year fell outside JMP 2000-2024 coverage and was clamped to the nearest boundary year; (e) JMP does not publish an urban/rural-specific estimate for that indicator/country/year (e.g. Republic of Korea), so the national TOTAL (_t) value was used instead; (f) JMP has no estimate at all for the exact study year, so the nearest available year for the same country (same stratum, or TOTAL) was used instead (e.g. Saudi Arabia piped-water 2007/2013, filled from 2015).</t>
  </si>
  <si>
    <t>See cell comment on first flagged column for the specific reason</t>
  </si>
  <si>
    <t>WAT granular - left blank (dash)</t>
  </si>
  <si>
    <t>No value could be derived: country label not mappable to a JMP entity (e.g. multi-country study), sample year not derivable from Year(s) Sample Collection (e.g. NR), or JMP has never published a modelled estimate for that indicator for this country in ANY year/stratum (most often wat_sm / wat_imp_qual, the safely-managed sub-indicators, which JMP does not model for many low/middle-income countries at all).</t>
  </si>
  <si>
    <t>wat_basic (col BK)</t>
  </si>
  <si>
    <t>Formula = wat_basal minus wat_sm (the gap between at-least-basic and safely-managed water access). Live Excel formula referencing cols BG and BF.</t>
  </si>
  <si>
    <t>All rows</t>
  </si>
  <si>
    <t>SANITATION LADDER, STRATUM-MATCHED (cols BL-BO)</t>
  </si>
  <si>
    <t>SAN ladder — JMP measured</t>
  </si>
  <si>
    <t>Stratum-specific (urban/rural) JMP values for: san_basal, san_lim, san_unimp, san_ns. Four rungs sum exactly to 100%. Matched by country × highest sample-collection year × stratum.</t>
  </si>
  <si>
    <t>Most rows</t>
  </si>
  <si>
    <t>SAN ladder — HI country imputed (Taiwan)</t>
  </si>
  <si>
    <t>Taiwan not covered by JMP; imputed as HI-country (san_basal=100, rest=0).</t>
  </si>
  <si>
    <t>SAN ladder — proxy / assumption used</t>
  </si>
  <si>
    <t>Proxy substituted: (a) setting not Urban/Rural → national TOTAL used; (b) subnational or traveller study → national estimate; (c) year out of 2000-2024 range → clamped; (d) stratum-specific estimate absent → national TOTAL (_t) used; (e) no data for exact year → nearest available same-country year (same stratum or TOTAL).</t>
  </si>
  <si>
    <t>See cell comment on BL for reason</t>
  </si>
  <si>
    <t>SAN ladder — left blank ("—")</t>
  </si>
  <si>
    <t>No value derivable: unmappable country (e.g. multi-country), no parseable year, or JMP has never published this indicator for the country in any year/stratum.</t>
  </si>
  <si>
    <t>── INCLUDE IN ANALYSIS (col BR; this update) ──</t>
  </si>
  <si>
    <t>Source SR(s) [col B] contains [New], [Bez], [Lewis], or [Hob] (any combination), OR 'manual check done' [col V] begins with 'X' (including caveated X entries). Union of both conditions, i.e. either alone is sufficient.</t>
  </si>
  <si>
    <t>#FFC7CE</t>
  </si>
  <si>
    <t>Neither condition above met, OR forced exclusion overrides the above regardless of tag/X status: Ref 41 (admitted to hospital, not community), Ref 175 (patients with digestive problems, not healthy individuals). NOTE: Ref 172 (Kuenzli et al., Switzerland) was originally force-excluded here as a 'traveller cohort' but this was a CORRECTION ERROR - its population is 'pretravel' (baseline, before departure), i.e. home-country community carriage, not carriage acquired abroad. Ref 172 was re-included; see its row Notes for detail.</t>
  </si>
  <si>
    <t>── E. COLI 3GC-R RESISTANCE MATCH (cols 74-77, this update) ──</t>
  </si>
  <si>
    <t>AMR match — GLASS</t>
  </si>
  <si>
    <t>FFFFFF (none)</t>
  </si>
  <si>
    <t>333333</t>
  </si>
  <si>
    <t>Nearest-available-year % of E. coli bloodstream infections resistant to 3rd-gen cephalosporins, WHO GLASS (2016-2023), matched to study's own sample-collection year (no extrapolation).</t>
  </si>
  <si>
    <t>Default source; used whenever the study's country reports to GLASS</t>
  </si>
  <si>
    <t>AMR match — substitute source</t>
  </si>
  <si>
    <t>D8CCFF</t>
  </si>
  <si>
    <t>4A0080</t>
  </si>
  <si>
    <t>GLASS does not cover this country. Substituted: Spain = EARS-Net invasive-isolate 3GC-R E. coli; USA = CDC extended-spectrum cephalosporin resistance, clinical E. coli (all-specimen, not BSI-specific); China = CARSS national surveillance (all-specimen, not BSI-specific).</t>
  </si>
  <si>
    <t>Spain, USA, China only</t>
  </si>
  <si>
    <t>AMR match — publication-year fallback</t>
  </si>
  <si>
    <t>FFF2CC</t>
  </si>
  <si>
    <t>7F6000</t>
  </si>
  <si>
    <t>Sample-collection year was not reported ('NR'); Year Published used instead as the anchor for nearest-year matching.</t>
  </si>
  <si>
    <t>Rows where 'Year(s) Sample Collection' = NR</t>
  </si>
  <si>
    <t>AMR match — not available</t>
  </si>
  <si>
    <t>F2F2F2</t>
  </si>
  <si>
    <t>888888</t>
  </si>
  <si>
    <t>Country reports to none of GLASS/EARS-Net/CDC/CARSS in any year (regardless of which year is used to anchor the match).</t>
  </si>
  <si>
    <t>See 'AMR match source' column for the specific reason</t>
  </si>
  <si>
    <t>Note: 'Years: study to match' (col 77) shows the gap between the anchor year (sample year, or publication year where sample year was NR) and the matched surveillance year; some sparse-series countries (e.g. Tanzania, USA) have gaps exceeding 5-10 years. No extrapolation or neighbour-country proxy was applied for this indicator (unlike the AMU linkage above) — treat large-gap matches as lower confidence.</t>
  </si>
  <si>
    <t xml:space="preserve">  [Bez] = Bezabih et al. 2021 J Antimicrob Chemother (community ESBL E. coli SR)</t>
  </si>
  <si>
    <t>check</t>
  </si>
  <si>
    <t xml:space="preserve">  [Hob] = Hobson et al. 2026 CMI Comms (high-income countries)</t>
  </si>
  <si>
    <t xml:space="preserve">  [Lewis] = Lewis 2020 Wellcome Open Res (sub-Saharan Africa)</t>
  </si>
  <si>
    <t>3GCR-E &amp; CRE Fecal Colonization in Healthy Individuals — Global Evidence Synthesis</t>
  </si>
  <si>
    <t>Exclude (CRE only)</t>
  </si>
  <si>
    <t>[Bangladesh arm] Original multi-country study. Country ESBL prevalence 79.0%. JMP WASH data for Bangladesh ~2018.</t>
  </si>
  <si>
    <t>[Botswana arm] Original multi-country study. Country ESBL prevalence 40.0%. JMP WASH data for Botswana ~2018. | Urban/rural split from Parra Table 3: Urban arm (N=700, 28.3%).</t>
  </si>
  <si>
    <t>[Botswana arm] Original multi-country study. Country ESBL prevalence 40.0%. JMP WASH data for Botswana ~2018. | Urban/rural split from Parra Table 3: Rural arm (N=1300, 22.3%).</t>
  </si>
  <si>
    <t>[Chile arm] Original multi-country study. Country ESBL prevalence 15.0%. JMP WASH data for Chile ~2018.</t>
  </si>
  <si>
    <t>[Guatemala arm] Original multi-country study. Country ESBL prevalence 47.0%. JMP WASH data for Guatemala ~2018. | Urban/rural split from Parra Table 3: Urban arm (N=204, 45.6%).</t>
  </si>
  <si>
    <t>[Guatemala arm] Original multi-country study. Country ESBL prevalence 47.0%. JMP WASH data for Guatemala ~2018. | Urban/rural split from Parra Table 3: Rural arm (N=377, 39.3%).</t>
  </si>
  <si>
    <t>[India arm] Original multi-country study. Country ESBL prevalence 76.0%. JMP WASH data for India ~2018.</t>
  </si>
  <si>
    <t>[Kenya arm] Original multi-country study. Country ESBL prevalence 59.0%. JMP WASH data for Kenya ~2018. | Urban/rural split from Parra Table 3: Urban arm (N=884, 50.1%). | Safely-managed water IMPUTED (model-based, not JMP-reported): regression of logit(safely-managed) on logit(at-least-basic) and logit(piped water), fitted on n=92 studies with known values (R²=0.92, leave-one-out cross-validated r=0.95, MAE=5.7pp). Point estimate 53.6% (95% imputation interval 37.3-78.5%). 20 multiple-imputation draws available separately for propagating imputation uncertainty into downstream models (see sm_imputed_draws.csv). Treat with more caution than directly JMP-reported values.</t>
  </si>
  <si>
    <t>[Kenya arm] Original multi-country study. Country ESBL prevalence 59.0%. JMP WASH data for Kenya ~2018. | Urban/rural split from Parra Table 3: Rural arm (N=773, 44.3%). | Safely-managed water IMPUTED (model-based, not JMP-reported): regression of logit(safely-managed) on logit(at-least-basic) and logit(piped water), fitted on n=92 studies with known values (R²=0.92, leave-one-out cross-validated r=0.95, MAE=5.7pp). Point estimate 10.1% (95% imputation interval 3.6-19.4%). 20 multiple-imputation draws available separately for propagating imputation uncertainty into downstream models (see sm_imputed_draws.csv). Treat with more caution than directly JMP-reported values.</t>
  </si>
  <si>
    <t>Basic only sanitation (%)</t>
  </si>
  <si>
    <t>2015 Wang 2025 (Netherlands)</t>
  </si>
  <si>
    <t>2013 Wang 2025 (Vietnam)</t>
  </si>
  <si>
    <t>2010 Wang 2025 (Thailand)</t>
  </si>
  <si>
    <t>2018 Wang 2025 (Indonesia)</t>
  </si>
  <si>
    <t>2018 Wang 2025 (Vietnam)</t>
  </si>
  <si>
    <t>2020 Wang 2025 (China)</t>
  </si>
  <si>
    <t>2020 Wang 2025 (Japan)</t>
  </si>
  <si>
    <t>2018 Wang 2025 (India)</t>
  </si>
  <si>
    <t>2018 Wang 2025 (Bangladesh)</t>
  </si>
  <si>
    <t>2018 Wang 2025 (Chile)</t>
  </si>
  <si>
    <t>2018 Wang 2025 (Central America)</t>
  </si>
  <si>
    <t>2016 Wang 2025 (Thailand)</t>
  </si>
  <si>
    <t>2016 Wang 2025 (Netherlands)</t>
  </si>
  <si>
    <t>2020 Wang 2025 (Thailand)</t>
  </si>
  <si>
    <t>2016 Wang 2025 (Norway)</t>
  </si>
  <si>
    <t>2012 Wang 2025 (Germany)</t>
  </si>
  <si>
    <t>2011 Wang 2025 (Portugal)</t>
  </si>
  <si>
    <t>2019 Wang 2025 (Belgium)</t>
  </si>
  <si>
    <t>2017 Wang 2025 (Cyprus)</t>
  </si>
  <si>
    <t>2012 Wang 2025 (Sweden)</t>
  </si>
  <si>
    <t>2017 Wang 2025 (Singapore)</t>
  </si>
  <si>
    <t>2010 Wang 2025 (Korea)</t>
  </si>
  <si>
    <t>2016 Wang 2025 (China Taiwan)</t>
  </si>
  <si>
    <t>2021 Wang 2025 (Burkina Faso)</t>
  </si>
  <si>
    <t>2010 Wang 2025 (Spain)</t>
  </si>
  <si>
    <t>2010 Wang 2025 (Saudi Arabia)</t>
  </si>
  <si>
    <t>2013 Wang 2025 (Angola)</t>
  </si>
  <si>
    <t>2013 Wang 2025 (CAR)</t>
  </si>
  <si>
    <t>2016 Wang 2025 (Mozambique)</t>
  </si>
  <si>
    <t>2015 Wang 2025 (Gambia)</t>
  </si>
  <si>
    <t xml:space="preserve">2015 Wang 2025 </t>
  </si>
  <si>
    <t xml:space="preserve">2012 Wang 2025 </t>
  </si>
  <si>
    <t xml:space="preserve">2011 Wang 2025 </t>
  </si>
  <si>
    <t xml:space="preserve">2014 Wang 2025 </t>
  </si>
  <si>
    <t xml:space="preserve">2010 Wang 2025 </t>
  </si>
  <si>
    <t xml:space="preserve">2013 Wang 2025 </t>
  </si>
  <si>
    <t xml:space="preserve">2016 Wang 2025 </t>
  </si>
  <si>
    <t>2022 GLASS (Ethiopia)</t>
  </si>
  <si>
    <t>2018 GLASS (Nepal)</t>
  </si>
  <si>
    <t>2021 GLASS (Uganda)</t>
  </si>
  <si>
    <t>2020 GLASS (Iran)</t>
  </si>
  <si>
    <t>2016 GLASS (Denmark)</t>
  </si>
  <si>
    <t>2010 Wang 2025 (Australia)</t>
  </si>
  <si>
    <t>2010 Wang 2025 (United States)</t>
  </si>
  <si>
    <t>AMU data year &amp; source</t>
  </si>
  <si>
    <t>2014 Browne 2021 (Madagascar)</t>
  </si>
  <si>
    <t>2018 Browne 2021 (Malawi)</t>
  </si>
  <si>
    <t>2012 Browne 2021 (Lao)</t>
  </si>
  <si>
    <t>2018 Browne 2021 (Botswana)</t>
  </si>
  <si>
    <t>2009 Browne 2021 (Cameroon)</t>
  </si>
  <si>
    <t>2009 Browne 2021 (Senegal)</t>
  </si>
  <si>
    <t>2005 Browne 2021</t>
  </si>
  <si>
    <t>2006 Browne 2021</t>
  </si>
  <si>
    <t>2000 Browne 2021 (closest year with data available)</t>
  </si>
  <si>
    <t>2009 Browne 2021</t>
  </si>
  <si>
    <t>2015 Wang 2025</t>
  </si>
  <si>
    <t>2004 Browne 2021</t>
  </si>
  <si>
    <t>2011 Browne 2021</t>
  </si>
  <si>
    <t>2016 Browne 2021</t>
  </si>
  <si>
    <t>2017 Browne 2021</t>
  </si>
  <si>
    <t>2014 Browne 2021</t>
  </si>
  <si>
    <t>2018 Browne 2021</t>
  </si>
  <si>
    <t>2013 Browne 2021</t>
  </si>
  <si>
    <t>2015 Browne 2021</t>
  </si>
  <si>
    <t>2018 Browne 2021 (didn't use the GLASS estimate because the trend doesn't make sense)</t>
  </si>
  <si>
    <t>2007 Browne 2021</t>
  </si>
  <si>
    <t>2016 GLASS</t>
  </si>
  <si>
    <t>2003 Browne 2021</t>
  </si>
  <si>
    <t>3GCR-E coli prevalence in BSI data:</t>
  </si>
  <si>
    <t>3GCR-E carriage sources:</t>
  </si>
  <si>
    <t>v16 (Oct 2026): manually checked all included studies; added JMP rung proportions and imputed missing proportions (meta-regression interpolation if available for other years; MI based on piped water proportion)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</si>
</sst>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_ ;[Red]\-0.0\ "/>
  </numFmts>
  <fonts count="10" x14ac:knownFonts="1">
    <font>
      <sz val="11"/>
      <color theme="1"/>
      <name val="Calibri"/>
      <family val="2"/>
      <scheme val="minor"/>
    </font>
    <font>
      <u/>
      <sz val="11"/>
      <color theme="10"/>
      <name val="Calibri"/>
      <family val="2"/>
      <scheme val="minor"/>
    </font>
    <font>
      <strike/>
      <sz val="11"/>
      <color theme="1"/>
      <name val="Calibri"/>
      <family val="2"/>
      <scheme val="minor"/>
    </font>
    <font>
      <b/>
      <sz val="11"/>
      <name val="Calibri"/>
    </font>
    <font>
      <b/>
      <sz val="11"/>
      <name val="Calibri"/>
    </font>
    <font>
      <sz val="11"/>
      <name val="Calibri"/>
    </font>
    <font>
      <sz val="11"/>
      <name val="Calibri"/>
      <family val="2"/>
    </font>
    <font>
      <b/>
      <sz val="11"/>
      <color theme="1"/>
      <name val="Calibri"/>
      <family val="2"/>
      <scheme val="minor"/>
    </font>
    <font>
      <sz val="8"/>
      <name val="Calibri"/>
      <family val="2"/>
      <scheme val="minor"/>
    </font>
    <font>
      <u/>
      <sz val="11"/>
      <color theme="1"/>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rgb="FFFCE4D6"/>
        <bgColor rgb="FFFCE4D6"/>
      </patternFill>
    </fill>
    <fill>
      <patternFill patternType="solid">
        <fgColor rgb="FFF2F2F2"/>
        <bgColor rgb="FFF2F2F2"/>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FFC7CE"/>
        <bgColor rgb="FFFFC7CE"/>
      </patternFill>
    </fill>
    <fill>
      <patternFill patternType="solid">
        <fgColor rgb="FFC6EFCE"/>
        <bgColor rgb="FFC6EFCE"/>
      </patternFill>
    </fill>
    <fill>
      <patternFill patternType="solid">
        <fgColor rgb="FFF2F2F2"/>
      </patternFill>
    </fill>
    <fill>
      <patternFill patternType="solid">
        <fgColor rgb="FFD8CCFF"/>
      </patternFill>
    </fill>
    <fill>
      <patternFill patternType="solid">
        <fgColor rgb="FFFFF2CC"/>
      </patternFill>
    </fill>
    <fill>
      <patternFill patternType="solid">
        <fgColor theme="5" tint="0.59999389629810485"/>
        <bgColor rgb="FFC6EFCE"/>
      </patternFill>
    </fill>
    <fill>
      <patternFill patternType="solid">
        <fgColor theme="9" tint="0.79998168889431442"/>
        <bgColor indexed="64"/>
      </patternFill>
    </fill>
    <fill>
      <patternFill patternType="solid">
        <fgColor theme="5" tint="0.59999389629810485"/>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2">
    <xf numFmtId="0" fontId="0" fillId="0" borderId="0"/>
    <xf numFmtId="0" fontId="1" fillId="0" borderId="0"/>
  </cellStyleXfs>
  <cellXfs count="75">
    <xf numFmtId="0" fontId="0" fillId="0" borderId="0" xfId="0"/>
    <xf numFmtId="0" fontId="1" fillId="0" borderId="0" xfId="1"/>
    <xf numFmtId="0" fontId="0" fillId="2" borderId="0" xfId="0" applyFill="1"/>
    <xf numFmtId="10" fontId="0" fillId="2" borderId="0" xfId="0" applyNumberFormat="1" applyFill="1"/>
    <xf numFmtId="0" fontId="2" fillId="0" borderId="0" xfId="0" applyFont="1"/>
    <xf numFmtId="9" fontId="0" fillId="0" borderId="0" xfId="0" applyNumberFormat="1"/>
    <xf numFmtId="10" fontId="0" fillId="0" borderId="0" xfId="0" applyNumberFormat="1"/>
    <xf numFmtId="0" fontId="1" fillId="0" borderId="0" xfId="1" applyAlignment="1">
      <alignment horizontal="left" vertical="center" wrapText="1" indent="1"/>
    </xf>
    <xf numFmtId="0" fontId="0" fillId="3" borderId="0" xfId="0" applyFill="1"/>
    <xf numFmtId="0" fontId="0" fillId="4" borderId="0" xfId="0" applyFill="1"/>
    <xf numFmtId="0" fontId="2" fillId="3" borderId="0" xfId="0" applyFont="1" applyFill="1"/>
    <xf numFmtId="9" fontId="0" fillId="3" borderId="0" xfId="0" applyNumberFormat="1" applyFill="1"/>
    <xf numFmtId="0" fontId="0" fillId="5" borderId="0" xfId="0" applyFill="1"/>
    <xf numFmtId="0" fontId="0" fillId="6" borderId="0" xfId="0" applyFill="1"/>
    <xf numFmtId="0" fontId="0" fillId="8" borderId="0" xfId="0" applyFill="1"/>
    <xf numFmtId="0" fontId="0" fillId="9" borderId="0" xfId="0" applyFill="1"/>
    <xf numFmtId="0" fontId="0" fillId="10" borderId="0" xfId="0" applyFill="1"/>
    <xf numFmtId="0" fontId="3" fillId="0" borderId="0" xfId="0" applyFont="1"/>
    <xf numFmtId="0" fontId="0" fillId="11" borderId="0" xfId="0" applyFill="1"/>
    <xf numFmtId="0" fontId="0" fillId="12" borderId="0" xfId="0" applyFill="1"/>
    <xf numFmtId="0" fontId="4" fillId="0" borderId="0" xfId="0" applyFont="1" applyAlignment="1">
      <alignment vertical="top" wrapText="1"/>
    </xf>
    <xf numFmtId="0" fontId="5" fillId="0" borderId="0" xfId="0" applyFont="1"/>
    <xf numFmtId="0" fontId="5" fillId="13" borderId="0" xfId="0" applyFont="1" applyFill="1"/>
    <xf numFmtId="0" fontId="5" fillId="14" borderId="0" xfId="0" applyFont="1" applyFill="1"/>
    <xf numFmtId="0" fontId="0" fillId="14" borderId="0" xfId="0" applyFill="1"/>
    <xf numFmtId="0" fontId="0" fillId="15" borderId="0" xfId="0" applyFill="1"/>
    <xf numFmtId="0" fontId="0" fillId="13" borderId="0" xfId="0" applyFill="1"/>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2" fillId="3" borderId="0" xfId="0" applyFont="1" applyFill="1" applyAlignment="1">
      <alignment wrapText="1"/>
    </xf>
    <xf numFmtId="0" fontId="6" fillId="0" borderId="0" xfId="0" applyFont="1"/>
    <xf numFmtId="0" fontId="0" fillId="16"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9" borderId="4" xfId="0" applyFill="1" applyBorder="1"/>
    <xf numFmtId="0" fontId="0" fillId="3" borderId="5" xfId="0" applyFill="1" applyBorder="1"/>
    <xf numFmtId="0" fontId="2" fillId="0" borderId="4" xfId="0" applyFont="1" applyBorder="1"/>
    <xf numFmtId="164" fontId="0" fillId="2" borderId="4" xfId="0" applyNumberFormat="1" applyFill="1" applyBorder="1"/>
    <xf numFmtId="0" fontId="0" fillId="2" borderId="4" xfId="0" applyFill="1" applyBorder="1"/>
    <xf numFmtId="2" fontId="0" fillId="2" borderId="4" xfId="0" applyNumberFormat="1" applyFill="1" applyBorder="1"/>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0" xfId="0" applyNumberFormat="1"/>
    <xf numFmtId="165" fontId="0" fillId="0" borderId="5" xfId="0" applyNumberFormat="1" applyBorder="1"/>
    <xf numFmtId="165" fontId="0" fillId="17" borderId="4" xfId="0" applyNumberFormat="1" applyFill="1" applyBorder="1"/>
    <xf numFmtId="165" fontId="0" fillId="5" borderId="0" xfId="0" applyNumberFormat="1" applyFill="1"/>
    <xf numFmtId="165" fontId="0" fillId="5" borderId="5" xfId="0" applyNumberFormat="1" applyFill="1" applyBorder="1"/>
    <xf numFmtId="165" fontId="0" fillId="2" borderId="4" xfId="0" applyNumberFormat="1" applyFill="1" applyBorder="1"/>
    <xf numFmtId="165" fontId="0" fillId="3" borderId="4" xfId="0" applyNumberFormat="1" applyFill="1" applyBorder="1"/>
    <xf numFmtId="165" fontId="0" fillId="3" borderId="0" xfId="0" applyNumberFormat="1" applyFill="1"/>
    <xf numFmtId="165" fontId="0" fillId="3" borderId="5" xfId="0" applyNumberFormat="1" applyFill="1" applyBorder="1"/>
    <xf numFmtId="165" fontId="0" fillId="5" borderId="4" xfId="0" applyNumberFormat="1" applyFill="1" applyBorder="1"/>
    <xf numFmtId="165" fontId="0" fillId="9" borderId="4" xfId="0" applyNumberFormat="1" applyFill="1" applyBorder="1"/>
    <xf numFmtId="165" fontId="2" fillId="0" borderId="4" xfId="0" applyNumberFormat="1" applyFont="1" applyBorder="1"/>
    <xf numFmtId="165" fontId="0" fillId="18" borderId="4" xfId="0" applyNumberFormat="1" applyFill="1" applyBorder="1"/>
    <xf numFmtId="0" fontId="0" fillId="2" borderId="0" xfId="0" applyFill="1" applyAlignment="1">
      <alignment vertical="center" wrapText="1"/>
    </xf>
    <xf numFmtId="165" fontId="0" fillId="2" borderId="0" xfId="0" applyNumberFormat="1" applyFill="1"/>
    <xf numFmtId="165" fontId="0" fillId="2" borderId="5" xfId="0" applyNumberFormat="1" applyFill="1" applyBorder="1"/>
    <xf numFmtId="0" fontId="0" fillId="10" borderId="4" xfId="0" applyFill="1" applyBorder="1"/>
    <xf numFmtId="0" fontId="0" fillId="7" borderId="4" xfId="0" applyFill="1" applyBorder="1"/>
    <xf numFmtId="0" fontId="0" fillId="7" borderId="0" xfId="0" applyFill="1"/>
    <xf numFmtId="0" fontId="0" fillId="8" borderId="4" xfId="0" applyFill="1" applyBorder="1"/>
    <xf numFmtId="0" fontId="3" fillId="0" borderId="0" xfId="0" applyFont="1" applyAlignment="1">
      <alignment vertical="top" wrapText="1"/>
    </xf>
    <xf numFmtId="0" fontId="9" fillId="0" borderId="0" xfId="0" applyFont="1"/>
    <xf numFmtId="0" fontId="7" fillId="0" borderId="0" xfId="0" applyFont="1"/>
    <xf numFmtId="49" fontId="0" fillId="0" borderId="0" xfId="0" applyNumberFormat="1"/>
    <xf numFmtId="49" fontId="0" fillId="2" borderId="0" xfId="0" applyNumberFormat="1" applyFill="1"/>
    <xf numFmtId="49" fontId="0" fillId="3" borderId="0" xfId="0" applyNumberFormat="1" applyFill="1"/>
    <xf numFmtId="49" fontId="2" fillId="3" borderId="0" xfId="0" applyNumberFormat="1"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38/s41598-025-94750-3" TargetMode="External"/><Relationship Id="rId13" Type="http://schemas.openxmlformats.org/officeDocument/2006/relationships/hyperlink" Target="http://doi.org/10.1016/j.respe.2018.05.440" TargetMode="External"/><Relationship Id="rId18" Type="http://schemas.openxmlformats.org/officeDocument/2006/relationships/hyperlink" Target="http://doi.org/10.1128/AAC.00029-15" TargetMode="External"/><Relationship Id="rId26" Type="http://schemas.openxmlformats.org/officeDocument/2006/relationships/hyperlink" Target="https://doi.org/10.1016/j.diagmicrobio.2023.115918" TargetMode="External"/><Relationship Id="rId3" Type="http://schemas.openxmlformats.org/officeDocument/2006/relationships/hyperlink" Target="https://pubmed.ncbi.nlm.nih.gov/37207684/" TargetMode="External"/><Relationship Id="rId21" Type="http://schemas.openxmlformats.org/officeDocument/2006/relationships/hyperlink" Target="https://doi.org/10.1016/j.patbio.2010.07.012" TargetMode="External"/><Relationship Id="rId7" Type="http://schemas.openxmlformats.org/officeDocument/2006/relationships/hyperlink" Target="https://doi.org/10.1186/s13073-024-01310-x" TargetMode="External"/><Relationship Id="rId12" Type="http://schemas.openxmlformats.org/officeDocument/2006/relationships/hyperlink" Target="https://doi.org/10.3390/antibiotics11070953" TargetMode="External"/><Relationship Id="rId17" Type="http://schemas.openxmlformats.org/officeDocument/2006/relationships/hyperlink" Target="https://doi.org/10.1186/1471-2334-12-53" TargetMode="External"/><Relationship Id="rId25" Type="http://schemas.openxmlformats.org/officeDocument/2006/relationships/hyperlink" Target="https://doi.org/10.1016/j.diagmicrobio.2023.115918" TargetMode="External"/><Relationship Id="rId2" Type="http://schemas.openxmlformats.org/officeDocument/2006/relationships/hyperlink" Target="https://pubmed.ncbi.nlm.nih.gov/39695886/" TargetMode="External"/><Relationship Id="rId16" Type="http://schemas.openxmlformats.org/officeDocument/2006/relationships/hyperlink" Target="https://pubmed.ncbi.nlm.nih.gov/36525893/" TargetMode="External"/><Relationship Id="rId20" Type="http://schemas.openxmlformats.org/officeDocument/2006/relationships/hyperlink" Target="https://doi.org/10.1016/j.patbio.2010.07.012" TargetMode="External"/><Relationship Id="rId29" Type="http://schemas.openxmlformats.org/officeDocument/2006/relationships/hyperlink" Target="https://doi.org/10.1089/mdr.2014.0031" TargetMode="External"/><Relationship Id="rId1" Type="http://schemas.openxmlformats.org/officeDocument/2006/relationships/hyperlink" Target="https://doi.org/10.1016/j.cmi.2016.10.013" TargetMode="External"/><Relationship Id="rId6" Type="http://schemas.openxmlformats.org/officeDocument/2006/relationships/hyperlink" Target="https://doi.org/10.3389/fcimb.2023.1168451" TargetMode="External"/><Relationship Id="rId11" Type="http://schemas.openxmlformats.org/officeDocument/2006/relationships/hyperlink" Target="https://doi.org/10.1093/ofid/ofz425" TargetMode="External"/><Relationship Id="rId24" Type="http://schemas.openxmlformats.org/officeDocument/2006/relationships/hyperlink" Target="https://doi.org/10.1128/JCM.42.10.4769-4775.2004" TargetMode="External"/><Relationship Id="rId32" Type="http://schemas.openxmlformats.org/officeDocument/2006/relationships/hyperlink" Target="https://doi.org/10.1089/mdr.2014.0201" TargetMode="External"/><Relationship Id="rId5" Type="http://schemas.openxmlformats.org/officeDocument/2006/relationships/hyperlink" Target="https://pubmed.ncbi.nlm.nih.gov/33483551/" TargetMode="External"/><Relationship Id="rId15" Type="http://schemas.openxmlformats.org/officeDocument/2006/relationships/hyperlink" Target="https://pubmed.ncbi.nlm.nih.gov/37306968/" TargetMode="External"/><Relationship Id="rId23" Type="http://schemas.openxmlformats.org/officeDocument/2006/relationships/hyperlink" Target="https://doi.org/10.1186/s13756-016-0156-x" TargetMode="External"/><Relationship Id="rId28" Type="http://schemas.openxmlformats.org/officeDocument/2006/relationships/hyperlink" Target="https://doi.org/10.1093/jac/dkz296" TargetMode="External"/><Relationship Id="rId10" Type="http://schemas.openxmlformats.org/officeDocument/2006/relationships/hyperlink" Target="https://doi.org/10.1016/j.lanwpc.2024.101281" TargetMode="External"/><Relationship Id="rId19" Type="http://schemas.openxmlformats.org/officeDocument/2006/relationships/hyperlink" Target="https://pmc.ncbi.nlm.nih.gov/articles/PMC2593250/" TargetMode="External"/><Relationship Id="rId31" Type="http://schemas.openxmlformats.org/officeDocument/2006/relationships/hyperlink" Target="https://doi.org/10.1128/jcm.43.7.3309-3313.2005" TargetMode="External"/><Relationship Id="rId4" Type="http://schemas.openxmlformats.org/officeDocument/2006/relationships/hyperlink" Target="https://pmc.ncbi.nlm.nih.gov/articles/PMC4315533/" TargetMode="External"/><Relationship Id="rId9" Type="http://schemas.openxmlformats.org/officeDocument/2006/relationships/hyperlink" Target="https://doi.org/10.1038/s41598-025-94750-3" TargetMode="External"/><Relationship Id="rId14" Type="http://schemas.openxmlformats.org/officeDocument/2006/relationships/hyperlink" Target="https://doi.org/10.1371/journal.pgph.0001344" TargetMode="External"/><Relationship Id="rId22" Type="http://schemas.openxmlformats.org/officeDocument/2006/relationships/hyperlink" Target="https://pubmed.ncbi.nlm.nih.gov/26982242/" TargetMode="External"/><Relationship Id="rId27" Type="http://schemas.openxmlformats.org/officeDocument/2006/relationships/hyperlink" Target="https://doi.org/10.1371/journal.pone.0193325" TargetMode="External"/><Relationship Id="rId30" Type="http://schemas.openxmlformats.org/officeDocument/2006/relationships/hyperlink" Target="https://doi.org/10.2310/JIM.0b013e318238748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O112"/>
  <sheetViews>
    <sheetView tabSelected="1" workbookViewId="0">
      <pane xSplit="7" ySplit="1" topLeftCell="BA2" activePane="bottomRight" state="frozen"/>
      <selection pane="topRight" activeCell="I1" sqref="I1"/>
      <selection pane="bottomLeft" activeCell="A2" sqref="A2"/>
      <selection pane="bottomRight" activeCell="BD6" sqref="BD6"/>
    </sheetView>
  </sheetViews>
  <sheetFormatPr defaultRowHeight="15" x14ac:dyDescent="0.25"/>
  <cols>
    <col min="1" max="1" width="9.140625" style="71"/>
    <col min="2" max="2" width="8" style="27" customWidth="1"/>
    <col min="6" max="6" width="11.28515625" customWidth="1"/>
    <col min="10" max="10" width="26.140625" customWidth="1"/>
    <col min="23" max="32" width="13" hidden="1" customWidth="1"/>
    <col min="34" max="34" width="37.7109375" customWidth="1"/>
    <col min="44" max="44" width="9.140625" style="47"/>
    <col min="45" max="47" width="9.140625" style="48"/>
    <col min="48" max="48" width="9.140625" style="49"/>
    <col min="49" max="49" width="10.5703125" style="47" bestFit="1" customWidth="1"/>
    <col min="50" max="53" width="9.140625" style="48"/>
    <col min="54" max="54" width="9.140625" style="49"/>
    <col min="55" max="55" width="9.140625" style="36"/>
    <col min="56" max="56" width="25.42578125" customWidth="1"/>
    <col min="57" max="57" width="9.140625" style="36"/>
    <col min="59" max="59" width="9.140625" style="37"/>
    <col min="64" max="67" width="20" customWidth="1"/>
  </cols>
  <sheetData>
    <row r="1" spans="1:67" ht="60" x14ac:dyDescent="0.25">
      <c r="A1" s="71" t="s">
        <v>0</v>
      </c>
      <c r="B1" s="27"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46</v>
      </c>
      <c r="AM1" t="s">
        <v>37</v>
      </c>
      <c r="AN1" t="s">
        <v>39</v>
      </c>
      <c r="AO1" t="s">
        <v>40</v>
      </c>
      <c r="AP1" t="s">
        <v>41</v>
      </c>
      <c r="AQ1" t="s">
        <v>47</v>
      </c>
      <c r="AR1" s="44" t="s">
        <v>48</v>
      </c>
      <c r="AS1" s="45" t="s">
        <v>49</v>
      </c>
      <c r="AT1" s="45" t="s">
        <v>50</v>
      </c>
      <c r="AU1" s="45" t="s">
        <v>51</v>
      </c>
      <c r="AV1" s="46" t="s">
        <v>52</v>
      </c>
      <c r="AW1" s="44" t="s">
        <v>38</v>
      </c>
      <c r="AX1" s="45" t="s">
        <v>1153</v>
      </c>
      <c r="AY1" s="45" t="s">
        <v>53</v>
      </c>
      <c r="AZ1" s="45" t="s">
        <v>54</v>
      </c>
      <c r="BA1" s="45" t="s">
        <v>55</v>
      </c>
      <c r="BB1" s="46" t="s">
        <v>56</v>
      </c>
      <c r="BC1" s="33" t="s">
        <v>42</v>
      </c>
      <c r="BD1" s="34" t="s">
        <v>1198</v>
      </c>
      <c r="BE1" s="33" t="s">
        <v>43</v>
      </c>
      <c r="BF1" s="34" t="s">
        <v>44</v>
      </c>
      <c r="BG1" s="35" t="s">
        <v>45</v>
      </c>
      <c r="BH1" s="17" t="s">
        <v>57</v>
      </c>
      <c r="BI1" s="17" t="s">
        <v>58</v>
      </c>
      <c r="BJ1" s="17" t="s">
        <v>59</v>
      </c>
      <c r="BK1" s="17" t="s">
        <v>60</v>
      </c>
      <c r="BL1" s="68" t="s">
        <v>61</v>
      </c>
      <c r="BM1" s="20" t="s">
        <v>62</v>
      </c>
      <c r="BN1" s="20" t="s">
        <v>63</v>
      </c>
      <c r="BO1" s="20" t="s">
        <v>64</v>
      </c>
    </row>
    <row r="2" spans="1:67" x14ac:dyDescent="0.25">
      <c r="A2" s="71" t="s">
        <v>110</v>
      </c>
      <c r="B2" s="28" t="s">
        <v>1139</v>
      </c>
      <c r="C2" t="s">
        <v>118</v>
      </c>
      <c r="D2">
        <v>2017</v>
      </c>
      <c r="E2" t="s">
        <v>119</v>
      </c>
      <c r="F2" t="s">
        <v>120</v>
      </c>
      <c r="G2" t="s">
        <v>121</v>
      </c>
      <c r="H2" t="s">
        <v>122</v>
      </c>
      <c r="I2" t="s">
        <v>123</v>
      </c>
      <c r="J2" t="s">
        <v>124</v>
      </c>
      <c r="K2" t="s">
        <v>125</v>
      </c>
      <c r="L2" s="2">
        <v>2432</v>
      </c>
      <c r="M2" t="s">
        <v>90</v>
      </c>
      <c r="N2" t="s">
        <v>126</v>
      </c>
      <c r="O2" s="2">
        <v>109</v>
      </c>
      <c r="P2" s="2">
        <v>104</v>
      </c>
      <c r="Q2" s="2" t="s">
        <v>127</v>
      </c>
      <c r="R2" t="s">
        <v>76</v>
      </c>
      <c r="S2" t="s">
        <v>76</v>
      </c>
      <c r="T2" t="s">
        <v>76</v>
      </c>
      <c r="U2" t="s">
        <v>128</v>
      </c>
      <c r="V2" t="s">
        <v>75</v>
      </c>
      <c r="W2" t="s">
        <v>129</v>
      </c>
      <c r="X2" t="s">
        <v>130</v>
      </c>
      <c r="Y2" t="s">
        <v>76</v>
      </c>
      <c r="Z2" t="s">
        <v>131</v>
      </c>
      <c r="AA2" t="s">
        <v>77</v>
      </c>
      <c r="AB2" t="s">
        <v>76</v>
      </c>
      <c r="AC2" t="s">
        <v>76</v>
      </c>
      <c r="AD2" t="s">
        <v>76</v>
      </c>
      <c r="AE2" t="s">
        <v>132</v>
      </c>
      <c r="AF2" t="s">
        <v>133</v>
      </c>
      <c r="AG2" t="s">
        <v>95</v>
      </c>
      <c r="AH2" s="1" t="s">
        <v>134</v>
      </c>
      <c r="AI2" t="s">
        <v>135</v>
      </c>
      <c r="AJ2">
        <v>2015</v>
      </c>
      <c r="AK2" t="s">
        <v>79</v>
      </c>
      <c r="AL2">
        <v>99.97</v>
      </c>
      <c r="AM2">
        <v>100</v>
      </c>
      <c r="AN2">
        <v>100</v>
      </c>
      <c r="AO2">
        <v>100</v>
      </c>
      <c r="AP2">
        <v>100</v>
      </c>
      <c r="AQ2">
        <v>100</v>
      </c>
      <c r="AR2" s="47">
        <v>99.97</v>
      </c>
      <c r="AS2" s="48">
        <v>100</v>
      </c>
      <c r="AT2" s="48">
        <v>0</v>
      </c>
      <c r="AU2" s="48">
        <v>0</v>
      </c>
      <c r="AV2" s="49">
        <v>0</v>
      </c>
      <c r="AW2" s="47">
        <v>97.456699999999998</v>
      </c>
      <c r="AX2" s="48">
        <f>AY2-AW2</f>
        <v>2.4333000000000027</v>
      </c>
      <c r="AY2" s="62">
        <v>99.89</v>
      </c>
      <c r="AZ2" s="62">
        <v>0.1</v>
      </c>
      <c r="BA2" s="48">
        <v>6.6E-3</v>
      </c>
      <c r="BB2" s="49">
        <v>0</v>
      </c>
      <c r="BC2" s="36">
        <v>9.92</v>
      </c>
      <c r="BD2" t="s">
        <v>1154</v>
      </c>
      <c r="BE2" s="36">
        <v>5.6</v>
      </c>
      <c r="BF2" t="s">
        <v>136</v>
      </c>
      <c r="BG2" s="37" t="s">
        <v>88</v>
      </c>
      <c r="BH2" s="19" t="s">
        <v>137</v>
      </c>
      <c r="BI2" s="8">
        <v>64267.7</v>
      </c>
      <c r="BJ2" s="8" t="s">
        <v>82</v>
      </c>
      <c r="BL2" s="21">
        <v>6.16</v>
      </c>
      <c r="BM2" s="21">
        <v>2017</v>
      </c>
      <c r="BN2" s="21" t="s">
        <v>138</v>
      </c>
      <c r="BO2" s="21">
        <v>2</v>
      </c>
    </row>
    <row r="3" spans="1:67" x14ac:dyDescent="0.25">
      <c r="A3" s="71" t="s">
        <v>144</v>
      </c>
      <c r="B3" s="27" t="s">
        <v>561</v>
      </c>
      <c r="C3" t="s">
        <v>145</v>
      </c>
      <c r="D3">
        <v>2019</v>
      </c>
      <c r="E3" s="2" t="s">
        <v>119</v>
      </c>
      <c r="F3" t="s">
        <v>66</v>
      </c>
      <c r="G3" t="s">
        <v>121</v>
      </c>
      <c r="H3" t="s">
        <v>146</v>
      </c>
      <c r="I3" t="s">
        <v>68</v>
      </c>
      <c r="J3" t="s">
        <v>147</v>
      </c>
      <c r="K3" t="s">
        <v>125</v>
      </c>
      <c r="L3" s="2">
        <v>4177</v>
      </c>
      <c r="M3" t="s">
        <v>90</v>
      </c>
      <c r="N3" t="s">
        <v>148</v>
      </c>
      <c r="O3" s="2">
        <v>186</v>
      </c>
      <c r="P3" s="2">
        <v>174</v>
      </c>
      <c r="Q3" s="2" t="s">
        <v>106</v>
      </c>
      <c r="R3" t="s">
        <v>73</v>
      </c>
      <c r="S3" t="s">
        <v>76</v>
      </c>
      <c r="T3" t="s">
        <v>76</v>
      </c>
      <c r="U3" t="s">
        <v>128</v>
      </c>
      <c r="V3" t="s">
        <v>75</v>
      </c>
      <c r="W3" t="s">
        <v>149</v>
      </c>
      <c r="X3" t="s">
        <v>150</v>
      </c>
      <c r="Y3" t="s">
        <v>76</v>
      </c>
      <c r="Z3" t="s">
        <v>151</v>
      </c>
      <c r="AA3" t="s">
        <v>77</v>
      </c>
      <c r="AB3" t="s">
        <v>76</v>
      </c>
      <c r="AC3" t="s">
        <v>76</v>
      </c>
      <c r="AD3" t="s">
        <v>76</v>
      </c>
      <c r="AE3" t="s">
        <v>152</v>
      </c>
      <c r="AF3" t="s">
        <v>153</v>
      </c>
      <c r="AG3" t="s">
        <v>95</v>
      </c>
      <c r="AH3" t="s">
        <v>154</v>
      </c>
      <c r="AI3" t="s">
        <v>155</v>
      </c>
      <c r="AJ3">
        <v>2015</v>
      </c>
      <c r="AK3" t="s">
        <v>156</v>
      </c>
      <c r="AL3">
        <v>99.97</v>
      </c>
      <c r="AM3">
        <v>100</v>
      </c>
      <c r="AN3">
        <v>100</v>
      </c>
      <c r="AO3">
        <v>100</v>
      </c>
      <c r="AP3">
        <v>100</v>
      </c>
      <c r="AQ3">
        <v>100</v>
      </c>
      <c r="AR3" s="47">
        <v>99.97</v>
      </c>
      <c r="AS3" s="48">
        <v>100</v>
      </c>
      <c r="AT3" s="48">
        <v>0</v>
      </c>
      <c r="AU3" s="48">
        <v>0</v>
      </c>
      <c r="AV3" s="49">
        <v>0</v>
      </c>
      <c r="AW3" s="47">
        <v>97.5</v>
      </c>
      <c r="AX3" s="48">
        <f t="shared" ref="AX3:AX66" si="0">AY3-AW3</f>
        <v>0.21999999999999886</v>
      </c>
      <c r="AY3" s="48">
        <v>97.72</v>
      </c>
      <c r="AZ3" s="48">
        <v>2.2799999999999998</v>
      </c>
      <c r="BA3" s="48">
        <v>0</v>
      </c>
      <c r="BB3" s="49">
        <v>0</v>
      </c>
      <c r="BC3" s="36">
        <v>9.92</v>
      </c>
      <c r="BD3" t="s">
        <v>1154</v>
      </c>
      <c r="BE3" s="36">
        <v>14.6</v>
      </c>
      <c r="BF3">
        <v>2015</v>
      </c>
      <c r="BG3" s="37" t="s">
        <v>88</v>
      </c>
      <c r="BH3" s="19" t="s">
        <v>137</v>
      </c>
      <c r="BI3" s="8">
        <v>64267.7</v>
      </c>
      <c r="BJ3" s="8" t="s">
        <v>82</v>
      </c>
      <c r="BL3" s="21">
        <v>6.16</v>
      </c>
      <c r="BM3" s="21">
        <v>2017</v>
      </c>
      <c r="BN3" s="21" t="s">
        <v>138</v>
      </c>
      <c r="BO3" s="21">
        <v>2</v>
      </c>
    </row>
    <row r="4" spans="1:67" x14ac:dyDescent="0.25">
      <c r="A4" s="71" t="s">
        <v>195</v>
      </c>
      <c r="B4" s="27" t="s">
        <v>196</v>
      </c>
      <c r="C4" t="s">
        <v>197</v>
      </c>
      <c r="D4">
        <v>2024</v>
      </c>
      <c r="E4" t="s">
        <v>192</v>
      </c>
      <c r="F4" t="s">
        <v>66</v>
      </c>
      <c r="G4" t="s">
        <v>198</v>
      </c>
      <c r="H4" t="s">
        <v>199</v>
      </c>
      <c r="I4" t="s">
        <v>123</v>
      </c>
      <c r="J4" t="s">
        <v>200</v>
      </c>
      <c r="K4" t="s">
        <v>201</v>
      </c>
      <c r="L4">
        <v>366</v>
      </c>
      <c r="M4" t="s">
        <v>70</v>
      </c>
      <c r="N4" t="s">
        <v>71</v>
      </c>
      <c r="O4" s="2">
        <v>159</v>
      </c>
      <c r="P4" s="2">
        <v>159</v>
      </c>
      <c r="Q4" s="2" t="s">
        <v>202</v>
      </c>
      <c r="R4" t="s">
        <v>76</v>
      </c>
      <c r="S4" t="s">
        <v>76</v>
      </c>
      <c r="T4" t="s">
        <v>76</v>
      </c>
      <c r="U4" t="s">
        <v>128</v>
      </c>
      <c r="V4" t="s">
        <v>75</v>
      </c>
      <c r="W4" t="s">
        <v>92</v>
      </c>
      <c r="X4" t="s">
        <v>203</v>
      </c>
      <c r="Y4" t="s">
        <v>76</v>
      </c>
      <c r="Z4" t="s">
        <v>204</v>
      </c>
      <c r="AA4" t="s">
        <v>205</v>
      </c>
      <c r="AB4" t="s">
        <v>206</v>
      </c>
      <c r="AC4" t="s">
        <v>207</v>
      </c>
      <c r="AD4" t="s">
        <v>76</v>
      </c>
      <c r="AE4" t="s">
        <v>208</v>
      </c>
      <c r="AF4" t="s">
        <v>209</v>
      </c>
      <c r="AG4" t="s">
        <v>78</v>
      </c>
      <c r="AH4" s="1" t="s">
        <v>210</v>
      </c>
      <c r="AI4" t="s">
        <v>211</v>
      </c>
      <c r="AJ4">
        <v>2022</v>
      </c>
      <c r="AK4" t="s">
        <v>212</v>
      </c>
      <c r="AL4">
        <v>9.24</v>
      </c>
      <c r="AM4">
        <v>5.4</v>
      </c>
      <c r="AN4">
        <v>3.7</v>
      </c>
      <c r="AO4">
        <v>99.1</v>
      </c>
      <c r="AP4">
        <v>3.7</v>
      </c>
      <c r="AQ4">
        <v>31.89</v>
      </c>
      <c r="AR4" s="47">
        <v>5.45</v>
      </c>
      <c r="AS4" s="48">
        <v>43.78</v>
      </c>
      <c r="AT4" s="48">
        <v>29.94</v>
      </c>
      <c r="AU4" s="48">
        <v>7.21</v>
      </c>
      <c r="AV4" s="49">
        <v>19.059999999999999</v>
      </c>
      <c r="AW4" s="47">
        <v>4.4000000000000004</v>
      </c>
      <c r="AX4" s="48">
        <f t="shared" si="0"/>
        <v>1.3399999999999999</v>
      </c>
      <c r="AY4" s="48">
        <v>5.74</v>
      </c>
      <c r="AZ4" s="48">
        <v>2.2400000000000002</v>
      </c>
      <c r="BA4" s="48">
        <v>66.56</v>
      </c>
      <c r="BB4" s="49">
        <v>25.46</v>
      </c>
      <c r="BC4" s="36">
        <v>11.32</v>
      </c>
      <c r="BD4" t="s">
        <v>1191</v>
      </c>
      <c r="BE4" s="36">
        <v>13.7</v>
      </c>
      <c r="BF4" t="s">
        <v>194</v>
      </c>
      <c r="BG4" s="37" t="s">
        <v>187</v>
      </c>
      <c r="BH4" s="19" t="s">
        <v>137</v>
      </c>
      <c r="BI4" s="8">
        <v>2655.6</v>
      </c>
      <c r="BJ4" s="8" t="s">
        <v>82</v>
      </c>
      <c r="BL4" s="21">
        <v>80.95</v>
      </c>
      <c r="BM4" s="21">
        <v>2022</v>
      </c>
      <c r="BN4" s="21" t="s">
        <v>138</v>
      </c>
      <c r="BO4" s="21">
        <v>0.5</v>
      </c>
    </row>
    <row r="5" spans="1:67" x14ac:dyDescent="0.25">
      <c r="A5" s="71" t="s">
        <v>216</v>
      </c>
      <c r="B5" s="27" t="s">
        <v>196</v>
      </c>
      <c r="C5" t="s">
        <v>217</v>
      </c>
      <c r="D5">
        <v>2022</v>
      </c>
      <c r="E5" t="s">
        <v>218</v>
      </c>
      <c r="F5" t="s">
        <v>219</v>
      </c>
      <c r="G5" t="s">
        <v>220</v>
      </c>
      <c r="H5" t="s">
        <v>221</v>
      </c>
      <c r="I5" t="s">
        <v>68</v>
      </c>
      <c r="J5" t="s">
        <v>222</v>
      </c>
      <c r="K5" t="s">
        <v>125</v>
      </c>
      <c r="L5" s="2">
        <v>2845</v>
      </c>
      <c r="M5" t="s">
        <v>70</v>
      </c>
      <c r="N5" t="s">
        <v>71</v>
      </c>
      <c r="O5" s="2">
        <v>1190</v>
      </c>
      <c r="P5" t="s">
        <v>76</v>
      </c>
      <c r="Q5" s="2" t="s">
        <v>223</v>
      </c>
      <c r="R5" t="s">
        <v>76</v>
      </c>
      <c r="S5" t="s">
        <v>76</v>
      </c>
      <c r="T5" t="s">
        <v>76</v>
      </c>
      <c r="U5" t="s">
        <v>128</v>
      </c>
      <c r="V5" t="s">
        <v>107</v>
      </c>
      <c r="W5" t="s">
        <v>92</v>
      </c>
      <c r="X5" t="s">
        <v>150</v>
      </c>
      <c r="Y5" t="s">
        <v>76</v>
      </c>
      <c r="Z5" t="s">
        <v>224</v>
      </c>
      <c r="AA5" t="s">
        <v>205</v>
      </c>
      <c r="AB5" t="s">
        <v>225</v>
      </c>
      <c r="AC5" t="s">
        <v>226</v>
      </c>
      <c r="AD5" t="s">
        <v>227</v>
      </c>
      <c r="AE5" t="s">
        <v>228</v>
      </c>
      <c r="AF5" t="s">
        <v>229</v>
      </c>
      <c r="AG5" t="s">
        <v>95</v>
      </c>
      <c r="AH5" s="1" t="s">
        <v>230</v>
      </c>
      <c r="AI5" t="s">
        <v>231</v>
      </c>
      <c r="AJ5">
        <v>2019</v>
      </c>
      <c r="AK5" t="s">
        <v>79</v>
      </c>
      <c r="AL5">
        <v>66.3</v>
      </c>
      <c r="AM5">
        <v>50.1</v>
      </c>
      <c r="AN5">
        <v>28.6</v>
      </c>
      <c r="AO5">
        <v>84.8</v>
      </c>
      <c r="AP5">
        <v>28.6</v>
      </c>
      <c r="AQ5">
        <v>77.290000000000006</v>
      </c>
      <c r="AR5" s="47">
        <v>50.84</v>
      </c>
      <c r="AS5" s="48">
        <v>85.81</v>
      </c>
      <c r="AT5" s="48">
        <v>9.77</v>
      </c>
      <c r="AU5" s="48">
        <v>0.32</v>
      </c>
      <c r="AV5" s="49">
        <v>4.0999999999999996</v>
      </c>
      <c r="AW5" s="53">
        <v>38.700000000000003</v>
      </c>
      <c r="AX5" s="48">
        <f t="shared" si="0"/>
        <v>6.75</v>
      </c>
      <c r="AY5" s="48">
        <v>45.45</v>
      </c>
      <c r="AZ5" s="48">
        <v>36.630000000000003</v>
      </c>
      <c r="BA5" s="48">
        <v>16.809999999999999</v>
      </c>
      <c r="BB5" s="49">
        <v>1.1100000000000001</v>
      </c>
      <c r="BC5" s="42">
        <v>9.8000000000000007</v>
      </c>
      <c r="BD5" t="s">
        <v>1200</v>
      </c>
      <c r="BE5" s="36">
        <v>16.399999999999999</v>
      </c>
      <c r="BF5" t="s">
        <v>232</v>
      </c>
      <c r="BG5" s="37" t="s">
        <v>187</v>
      </c>
      <c r="BH5" s="19" t="s">
        <v>137</v>
      </c>
      <c r="BI5" s="8">
        <v>1656.4</v>
      </c>
      <c r="BJ5" s="8" t="s">
        <v>82</v>
      </c>
      <c r="BL5" s="21">
        <v>56.46</v>
      </c>
      <c r="BM5" s="21">
        <v>2020</v>
      </c>
      <c r="BN5" s="21" t="s">
        <v>138</v>
      </c>
      <c r="BO5" s="21">
        <v>1</v>
      </c>
    </row>
    <row r="6" spans="1:67" x14ac:dyDescent="0.25">
      <c r="A6" s="71" t="s">
        <v>72</v>
      </c>
      <c r="B6" s="27" t="s">
        <v>196</v>
      </c>
      <c r="C6" t="s">
        <v>233</v>
      </c>
      <c r="D6">
        <v>2020</v>
      </c>
      <c r="E6" t="s">
        <v>234</v>
      </c>
      <c r="F6" t="s">
        <v>66</v>
      </c>
      <c r="G6" t="s">
        <v>184</v>
      </c>
      <c r="H6" t="s">
        <v>235</v>
      </c>
      <c r="I6" t="s">
        <v>68</v>
      </c>
      <c r="J6" t="s">
        <v>236</v>
      </c>
      <c r="K6" s="2" t="s">
        <v>237</v>
      </c>
      <c r="L6" s="2">
        <v>537</v>
      </c>
      <c r="M6" t="s">
        <v>90</v>
      </c>
      <c r="N6" t="s">
        <v>71</v>
      </c>
      <c r="O6" s="2">
        <v>168</v>
      </c>
      <c r="P6" t="s">
        <v>76</v>
      </c>
      <c r="Q6" s="3" t="s">
        <v>238</v>
      </c>
      <c r="R6" t="s">
        <v>76</v>
      </c>
      <c r="S6" t="s">
        <v>76</v>
      </c>
      <c r="T6" t="s">
        <v>76</v>
      </c>
      <c r="U6" t="s">
        <v>128</v>
      </c>
      <c r="V6" t="s">
        <v>107</v>
      </c>
      <c r="W6" t="s">
        <v>92</v>
      </c>
      <c r="X6" t="s">
        <v>76</v>
      </c>
      <c r="Y6" t="s">
        <v>76</v>
      </c>
      <c r="Z6" t="s">
        <v>76</v>
      </c>
      <c r="AA6" t="s">
        <v>142</v>
      </c>
      <c r="AB6" t="s">
        <v>76</v>
      </c>
      <c r="AC6" t="s">
        <v>239</v>
      </c>
      <c r="AD6" t="s">
        <v>76</v>
      </c>
      <c r="AE6" t="s">
        <v>240</v>
      </c>
      <c r="AF6" t="s">
        <v>94</v>
      </c>
      <c r="AG6" t="s">
        <v>78</v>
      </c>
      <c r="AH6" s="1" t="s">
        <v>241</v>
      </c>
      <c r="AI6" t="s">
        <v>242</v>
      </c>
      <c r="AJ6">
        <v>2018</v>
      </c>
      <c r="AK6" t="s">
        <v>79</v>
      </c>
      <c r="AL6">
        <v>42.63</v>
      </c>
      <c r="AM6">
        <v>55.9</v>
      </c>
      <c r="AN6">
        <v>21.8</v>
      </c>
      <c r="AO6">
        <v>84.5</v>
      </c>
      <c r="AP6">
        <v>21.8</v>
      </c>
      <c r="AQ6">
        <v>67.010000000000005</v>
      </c>
      <c r="AR6" s="47">
        <v>42.63</v>
      </c>
      <c r="AS6" s="48">
        <v>81.73</v>
      </c>
      <c r="AT6" s="48">
        <v>10.039999999999999</v>
      </c>
      <c r="AU6" s="48">
        <v>2.19</v>
      </c>
      <c r="AV6" s="49">
        <v>6.04</v>
      </c>
      <c r="AW6" s="47">
        <v>32.4</v>
      </c>
      <c r="AX6" s="48">
        <f t="shared" si="0"/>
        <v>11.950000000000003</v>
      </c>
      <c r="AY6" s="48">
        <v>44.35</v>
      </c>
      <c r="AZ6" s="48">
        <v>35.299999999999997</v>
      </c>
      <c r="BA6" s="48">
        <v>19.3</v>
      </c>
      <c r="BB6" s="49">
        <v>1.05</v>
      </c>
      <c r="BC6" s="36">
        <v>25</v>
      </c>
      <c r="BD6" t="s">
        <v>1218</v>
      </c>
      <c r="BE6" s="36">
        <v>16.3</v>
      </c>
      <c r="BF6" t="s">
        <v>243</v>
      </c>
      <c r="BG6" s="37" t="s">
        <v>187</v>
      </c>
      <c r="BH6" s="19" t="s">
        <v>137</v>
      </c>
      <c r="BI6" s="8">
        <v>3392.7</v>
      </c>
      <c r="BJ6" s="8" t="s">
        <v>82</v>
      </c>
      <c r="BL6" s="21">
        <v>75</v>
      </c>
      <c r="BM6" s="21">
        <v>2020</v>
      </c>
      <c r="BN6" s="21" t="s">
        <v>138</v>
      </c>
      <c r="BO6" s="21">
        <v>2.5</v>
      </c>
    </row>
    <row r="7" spans="1:67" x14ac:dyDescent="0.25">
      <c r="A7" s="71" t="s">
        <v>248</v>
      </c>
      <c r="B7" s="27" t="s">
        <v>196</v>
      </c>
      <c r="C7" t="s">
        <v>249</v>
      </c>
      <c r="D7">
        <v>2015</v>
      </c>
      <c r="E7" t="s">
        <v>250</v>
      </c>
      <c r="F7" t="s">
        <v>66</v>
      </c>
      <c r="G7" t="s">
        <v>251</v>
      </c>
      <c r="H7" t="s">
        <v>140</v>
      </c>
      <c r="I7" t="s">
        <v>123</v>
      </c>
      <c r="J7" t="s">
        <v>252</v>
      </c>
      <c r="K7" t="s">
        <v>69</v>
      </c>
      <c r="L7">
        <v>198</v>
      </c>
      <c r="M7" t="s">
        <v>90</v>
      </c>
      <c r="N7" t="s">
        <v>253</v>
      </c>
      <c r="O7">
        <v>101</v>
      </c>
      <c r="P7">
        <v>101</v>
      </c>
      <c r="Q7" s="2" t="s">
        <v>254</v>
      </c>
      <c r="R7">
        <v>0</v>
      </c>
      <c r="S7" t="s">
        <v>76</v>
      </c>
      <c r="T7" t="s">
        <v>76</v>
      </c>
      <c r="U7" t="s">
        <v>128</v>
      </c>
      <c r="V7" t="s">
        <v>75</v>
      </c>
      <c r="W7" t="s">
        <v>173</v>
      </c>
      <c r="X7" t="s">
        <v>255</v>
      </c>
      <c r="Y7" t="s">
        <v>76</v>
      </c>
      <c r="Z7" t="s">
        <v>256</v>
      </c>
      <c r="AA7" t="s">
        <v>77</v>
      </c>
      <c r="AB7" t="s">
        <v>76</v>
      </c>
      <c r="AC7" t="s">
        <v>76</v>
      </c>
      <c r="AD7" t="s">
        <v>76</v>
      </c>
      <c r="AE7" t="s">
        <v>257</v>
      </c>
      <c r="AF7" t="s">
        <v>94</v>
      </c>
      <c r="AG7" t="s">
        <v>78</v>
      </c>
      <c r="AH7" s="1" t="s">
        <v>258</v>
      </c>
      <c r="AI7" t="s">
        <v>259</v>
      </c>
      <c r="AJ7">
        <v>2013</v>
      </c>
      <c r="AK7" t="s">
        <v>212</v>
      </c>
      <c r="AL7">
        <v>42.3</v>
      </c>
      <c r="AM7">
        <v>83.2</v>
      </c>
      <c r="AN7">
        <v>92.6</v>
      </c>
      <c r="AO7">
        <v>86.2</v>
      </c>
      <c r="AP7">
        <v>82.5</v>
      </c>
      <c r="AQ7">
        <v>18.77</v>
      </c>
      <c r="AR7" s="47">
        <v>42.3</v>
      </c>
      <c r="AS7" s="48">
        <v>88.06</v>
      </c>
      <c r="AT7" s="48">
        <v>0.59</v>
      </c>
      <c r="AU7" s="48">
        <v>3.54</v>
      </c>
      <c r="AV7" s="49">
        <v>7.82</v>
      </c>
      <c r="AW7" s="47">
        <v>38.799999999999997</v>
      </c>
      <c r="AX7" s="48">
        <f t="shared" si="0"/>
        <v>29.180000000000007</v>
      </c>
      <c r="AY7" s="48">
        <v>67.98</v>
      </c>
      <c r="AZ7" s="48">
        <v>3.27</v>
      </c>
      <c r="BA7" s="48">
        <v>20.350000000000001</v>
      </c>
      <c r="BB7" s="49">
        <v>8.4</v>
      </c>
      <c r="BC7" s="36">
        <v>16.89</v>
      </c>
      <c r="BD7" t="s">
        <v>1155</v>
      </c>
      <c r="BE7" s="36">
        <v>7.5</v>
      </c>
      <c r="BF7">
        <v>2013</v>
      </c>
      <c r="BG7" s="37" t="s">
        <v>247</v>
      </c>
      <c r="BH7" s="19" t="s">
        <v>137</v>
      </c>
      <c r="BI7" s="8">
        <v>8324.2000000000007</v>
      </c>
      <c r="BJ7" s="8" t="s">
        <v>82</v>
      </c>
      <c r="BL7" s="22"/>
      <c r="BM7" s="22"/>
      <c r="BN7" s="22" t="s">
        <v>260</v>
      </c>
      <c r="BO7" s="22"/>
    </row>
    <row r="8" spans="1:67" x14ac:dyDescent="0.25">
      <c r="A8" s="71" t="s">
        <v>261</v>
      </c>
      <c r="B8" s="27" t="s">
        <v>196</v>
      </c>
      <c r="C8" t="s">
        <v>249</v>
      </c>
      <c r="D8">
        <v>2015</v>
      </c>
      <c r="E8" t="s">
        <v>98</v>
      </c>
      <c r="F8" t="s">
        <v>66</v>
      </c>
      <c r="G8" t="s">
        <v>262</v>
      </c>
      <c r="H8" t="s">
        <v>140</v>
      </c>
      <c r="I8" t="s">
        <v>123</v>
      </c>
      <c r="J8" t="s">
        <v>263</v>
      </c>
      <c r="K8" t="s">
        <v>69</v>
      </c>
      <c r="L8">
        <v>57</v>
      </c>
      <c r="M8" t="s">
        <v>90</v>
      </c>
      <c r="N8" t="s">
        <v>253</v>
      </c>
      <c r="O8">
        <v>41</v>
      </c>
      <c r="P8">
        <v>41</v>
      </c>
      <c r="Q8" t="s">
        <v>264</v>
      </c>
      <c r="R8">
        <v>0</v>
      </c>
      <c r="T8" t="s">
        <v>74</v>
      </c>
      <c r="U8" t="s">
        <v>128</v>
      </c>
      <c r="V8" t="s">
        <v>75</v>
      </c>
      <c r="W8" t="s">
        <v>173</v>
      </c>
      <c r="AG8" t="s">
        <v>78</v>
      </c>
      <c r="AH8" t="s">
        <v>258</v>
      </c>
      <c r="AI8" t="s">
        <v>265</v>
      </c>
      <c r="AJ8">
        <v>2012</v>
      </c>
      <c r="AK8" t="s">
        <v>212</v>
      </c>
      <c r="AL8">
        <v>7.49</v>
      </c>
      <c r="AM8">
        <v>35.200000000000003</v>
      </c>
      <c r="AP8">
        <v>42.4</v>
      </c>
      <c r="AQ8">
        <v>13.49</v>
      </c>
      <c r="AR8" s="47">
        <v>7.49</v>
      </c>
      <c r="AS8" s="48">
        <v>63.85</v>
      </c>
      <c r="AT8" s="48">
        <v>2.98</v>
      </c>
      <c r="AU8" s="48">
        <v>14.37</v>
      </c>
      <c r="AV8" s="49">
        <v>18.79</v>
      </c>
      <c r="AW8" s="47">
        <v>43.9</v>
      </c>
      <c r="AX8" s="48">
        <f t="shared" si="0"/>
        <v>6.3700000000000045</v>
      </c>
      <c r="AY8" s="48">
        <v>50.27</v>
      </c>
      <c r="AZ8" s="48">
        <v>1.57</v>
      </c>
      <c r="BA8" s="48">
        <v>4.58</v>
      </c>
      <c r="BB8" s="49">
        <v>43.58</v>
      </c>
      <c r="BC8" s="42">
        <v>6.9</v>
      </c>
      <c r="BD8" t="s">
        <v>1201</v>
      </c>
      <c r="BE8" s="36">
        <v>13.1</v>
      </c>
      <c r="BF8">
        <v>2012</v>
      </c>
      <c r="BG8" s="37" t="s">
        <v>247</v>
      </c>
      <c r="BH8" s="19" t="s">
        <v>137</v>
      </c>
      <c r="BI8" s="8">
        <v>5609</v>
      </c>
      <c r="BJ8" s="8" t="s">
        <v>82</v>
      </c>
      <c r="BL8" s="21">
        <v>45.28</v>
      </c>
      <c r="BM8" s="21">
        <v>2017</v>
      </c>
      <c r="BN8" s="21" t="s">
        <v>138</v>
      </c>
      <c r="BO8" s="21">
        <v>5</v>
      </c>
    </row>
    <row r="9" spans="1:67" x14ac:dyDescent="0.25">
      <c r="A9" s="71" t="s">
        <v>266</v>
      </c>
      <c r="B9" s="27" t="s">
        <v>196</v>
      </c>
      <c r="C9" t="s">
        <v>249</v>
      </c>
      <c r="D9">
        <v>2015</v>
      </c>
      <c r="E9" t="s">
        <v>96</v>
      </c>
      <c r="F9" t="s">
        <v>66</v>
      </c>
      <c r="G9" t="s">
        <v>245</v>
      </c>
      <c r="H9" t="s">
        <v>140</v>
      </c>
      <c r="I9" t="s">
        <v>123</v>
      </c>
      <c r="J9" t="s">
        <v>267</v>
      </c>
      <c r="K9" t="s">
        <v>69</v>
      </c>
      <c r="L9">
        <v>417</v>
      </c>
      <c r="M9" t="s">
        <v>90</v>
      </c>
      <c r="N9" t="s">
        <v>253</v>
      </c>
      <c r="O9">
        <v>289</v>
      </c>
      <c r="P9">
        <v>289</v>
      </c>
      <c r="Q9" s="2" t="s">
        <v>268</v>
      </c>
      <c r="R9">
        <v>0</v>
      </c>
      <c r="T9" t="s">
        <v>74</v>
      </c>
      <c r="U9" t="s">
        <v>128</v>
      </c>
      <c r="V9" t="s">
        <v>75</v>
      </c>
      <c r="W9" t="s">
        <v>173</v>
      </c>
      <c r="AG9" t="s">
        <v>78</v>
      </c>
      <c r="AH9" t="s">
        <v>258</v>
      </c>
      <c r="AI9" s="15" t="s">
        <v>269</v>
      </c>
      <c r="AJ9">
        <v>2010</v>
      </c>
      <c r="AK9" t="s">
        <v>212</v>
      </c>
      <c r="AL9" t="s">
        <v>178</v>
      </c>
      <c r="AM9">
        <v>92.4</v>
      </c>
      <c r="AP9">
        <v>77.8</v>
      </c>
      <c r="AQ9">
        <v>41.23</v>
      </c>
      <c r="AR9" s="58">
        <v>64.180000000000007</v>
      </c>
      <c r="AS9" s="48">
        <v>95.78</v>
      </c>
      <c r="AT9" s="48">
        <v>0.26</v>
      </c>
      <c r="AU9" s="48">
        <v>0.87</v>
      </c>
      <c r="AV9" s="49">
        <v>3.09</v>
      </c>
      <c r="AW9" s="47">
        <v>19.399999999999999</v>
      </c>
      <c r="AX9" s="48">
        <f t="shared" si="0"/>
        <v>76.22</v>
      </c>
      <c r="AY9" s="48">
        <v>95.62</v>
      </c>
      <c r="AZ9" s="48">
        <v>2.79</v>
      </c>
      <c r="BA9" s="48">
        <v>0.84</v>
      </c>
      <c r="BB9" s="49">
        <v>0.76</v>
      </c>
      <c r="BC9" s="36">
        <v>16.27</v>
      </c>
      <c r="BD9" t="s">
        <v>1156</v>
      </c>
      <c r="BE9" s="36">
        <v>6.4</v>
      </c>
      <c r="BF9">
        <v>2010</v>
      </c>
      <c r="BG9" s="37" t="s">
        <v>247</v>
      </c>
      <c r="BH9" s="19" t="s">
        <v>137</v>
      </c>
      <c r="BI9" s="8">
        <v>16732.2</v>
      </c>
      <c r="BJ9" s="8" t="s">
        <v>82</v>
      </c>
      <c r="BK9" s="15">
        <v>14.23</v>
      </c>
      <c r="BL9" s="21">
        <v>40.29</v>
      </c>
      <c r="BM9" s="21">
        <v>2016</v>
      </c>
      <c r="BN9" s="21" t="s">
        <v>138</v>
      </c>
      <c r="BO9" s="21">
        <v>6</v>
      </c>
    </row>
    <row r="10" spans="1:67" x14ac:dyDescent="0.25">
      <c r="A10" s="71" t="s">
        <v>160</v>
      </c>
      <c r="B10" s="27" t="s">
        <v>196</v>
      </c>
      <c r="C10" t="s">
        <v>274</v>
      </c>
      <c r="D10">
        <v>2021</v>
      </c>
      <c r="E10" t="s">
        <v>275</v>
      </c>
      <c r="F10" t="s">
        <v>66</v>
      </c>
      <c r="G10" t="s">
        <v>276</v>
      </c>
      <c r="H10" t="s">
        <v>277</v>
      </c>
      <c r="I10" t="s">
        <v>123</v>
      </c>
      <c r="J10" t="s">
        <v>278</v>
      </c>
      <c r="K10" t="s">
        <v>188</v>
      </c>
      <c r="L10" s="2">
        <v>255</v>
      </c>
      <c r="M10" t="s">
        <v>70</v>
      </c>
      <c r="N10" t="s">
        <v>71</v>
      </c>
      <c r="O10" s="2">
        <v>198</v>
      </c>
      <c r="P10" s="2">
        <v>174</v>
      </c>
      <c r="Q10" s="2" t="s">
        <v>279</v>
      </c>
      <c r="R10" t="s">
        <v>76</v>
      </c>
      <c r="S10" t="s">
        <v>76</v>
      </c>
      <c r="T10" t="s">
        <v>76</v>
      </c>
      <c r="U10" t="s">
        <v>128</v>
      </c>
      <c r="V10" t="s">
        <v>75</v>
      </c>
      <c r="W10" t="s">
        <v>165</v>
      </c>
      <c r="X10" t="s">
        <v>280</v>
      </c>
      <c r="Y10" t="s">
        <v>76</v>
      </c>
      <c r="Z10" t="s">
        <v>281</v>
      </c>
      <c r="AA10" t="s">
        <v>205</v>
      </c>
      <c r="AB10" t="s">
        <v>282</v>
      </c>
      <c r="AC10" t="s">
        <v>283</v>
      </c>
      <c r="AD10" t="s">
        <v>284</v>
      </c>
      <c r="AE10" t="s">
        <v>285</v>
      </c>
      <c r="AF10" t="s">
        <v>286</v>
      </c>
      <c r="AG10" t="s">
        <v>95</v>
      </c>
      <c r="AH10" s="1" t="s">
        <v>287</v>
      </c>
      <c r="AI10" t="s">
        <v>288</v>
      </c>
      <c r="AJ10">
        <v>2018</v>
      </c>
      <c r="AK10" t="s">
        <v>212</v>
      </c>
      <c r="AL10">
        <v>17.399999999999999</v>
      </c>
      <c r="AM10">
        <v>66.5</v>
      </c>
      <c r="AN10">
        <v>55.8</v>
      </c>
      <c r="AO10">
        <v>63.8</v>
      </c>
      <c r="AP10">
        <v>55.8</v>
      </c>
      <c r="AQ10">
        <v>51.92</v>
      </c>
      <c r="AR10" s="47">
        <v>17.399999999999999</v>
      </c>
      <c r="AS10" s="48">
        <v>90.68</v>
      </c>
      <c r="AT10" s="48">
        <v>3.1</v>
      </c>
      <c r="AU10" s="48">
        <v>1.25</v>
      </c>
      <c r="AV10" s="49">
        <v>4.97</v>
      </c>
      <c r="AW10" s="53">
        <v>43.7</v>
      </c>
      <c r="AX10" s="48">
        <f t="shared" si="0"/>
        <v>25.069999999999993</v>
      </c>
      <c r="AY10" s="48">
        <v>68.77</v>
      </c>
      <c r="AZ10" s="48">
        <v>12.55</v>
      </c>
      <c r="BA10" s="48">
        <v>2.99</v>
      </c>
      <c r="BB10" s="49">
        <v>15.68</v>
      </c>
      <c r="BC10" s="36">
        <v>48.19</v>
      </c>
      <c r="BD10" t="s">
        <v>1192</v>
      </c>
      <c r="BE10" s="36">
        <v>9.3000000000000007</v>
      </c>
      <c r="BF10" t="s">
        <v>243</v>
      </c>
      <c r="BG10" s="37" t="s">
        <v>273</v>
      </c>
      <c r="BH10" s="19" t="s">
        <v>137</v>
      </c>
      <c r="BI10" s="8">
        <v>4607.5</v>
      </c>
      <c r="BJ10" s="8" t="s">
        <v>82</v>
      </c>
      <c r="BL10" s="21">
        <v>77.27</v>
      </c>
      <c r="BM10" s="21">
        <v>2019</v>
      </c>
      <c r="BN10" s="21" t="s">
        <v>138</v>
      </c>
      <c r="BO10" s="21">
        <v>0.5</v>
      </c>
    </row>
    <row r="11" spans="1:67" x14ac:dyDescent="0.25">
      <c r="A11" s="71" t="s">
        <v>290</v>
      </c>
      <c r="B11" s="27" t="s">
        <v>196</v>
      </c>
      <c r="C11" t="s">
        <v>291</v>
      </c>
      <c r="D11">
        <v>2020</v>
      </c>
      <c r="E11" t="s">
        <v>275</v>
      </c>
      <c r="F11" t="s">
        <v>66</v>
      </c>
      <c r="G11" t="s">
        <v>292</v>
      </c>
      <c r="H11" t="s">
        <v>293</v>
      </c>
      <c r="I11" t="s">
        <v>294</v>
      </c>
      <c r="J11" t="s">
        <v>295</v>
      </c>
      <c r="K11" t="s">
        <v>296</v>
      </c>
      <c r="L11" s="2">
        <v>245</v>
      </c>
      <c r="M11" t="s">
        <v>70</v>
      </c>
      <c r="N11" t="s">
        <v>71</v>
      </c>
      <c r="O11" s="2">
        <v>188</v>
      </c>
      <c r="P11" t="s">
        <v>76</v>
      </c>
      <c r="Q11" s="2" t="s">
        <v>297</v>
      </c>
      <c r="R11" t="s">
        <v>76</v>
      </c>
      <c r="S11" t="s">
        <v>76</v>
      </c>
      <c r="T11" t="s">
        <v>76</v>
      </c>
      <c r="U11" t="s">
        <v>128</v>
      </c>
      <c r="V11" t="s">
        <v>75</v>
      </c>
      <c r="W11" t="s">
        <v>298</v>
      </c>
      <c r="X11" t="s">
        <v>76</v>
      </c>
      <c r="Y11" t="s">
        <v>76</v>
      </c>
      <c r="Z11" t="s">
        <v>299</v>
      </c>
      <c r="AA11" t="s">
        <v>142</v>
      </c>
      <c r="AB11" t="s">
        <v>191</v>
      </c>
      <c r="AC11" t="s">
        <v>300</v>
      </c>
      <c r="AD11" t="s">
        <v>301</v>
      </c>
      <c r="AE11" t="s">
        <v>302</v>
      </c>
      <c r="AF11" t="s">
        <v>303</v>
      </c>
      <c r="AG11" t="s">
        <v>78</v>
      </c>
      <c r="AH11" s="1" t="s">
        <v>304</v>
      </c>
      <c r="AI11" t="s">
        <v>305</v>
      </c>
      <c r="AJ11" t="s">
        <v>306</v>
      </c>
      <c r="AK11" t="s">
        <v>79</v>
      </c>
      <c r="AL11">
        <v>29.49</v>
      </c>
      <c r="AM11">
        <v>73.7</v>
      </c>
      <c r="AN11">
        <v>83.1</v>
      </c>
      <c r="AO11">
        <v>86.2</v>
      </c>
      <c r="AP11">
        <v>83.1</v>
      </c>
      <c r="AQ11">
        <v>21.24</v>
      </c>
      <c r="AR11" s="47">
        <v>29.49</v>
      </c>
      <c r="AS11" s="48">
        <v>88.75</v>
      </c>
      <c r="AT11" s="48">
        <v>4.0999999999999996</v>
      </c>
      <c r="AU11" s="48">
        <v>1.17</v>
      </c>
      <c r="AV11" s="49">
        <v>5.98</v>
      </c>
      <c r="AW11" s="60">
        <f>0.7734*AY11</f>
        <v>62.011212</v>
      </c>
      <c r="AX11" s="48">
        <f t="shared" si="0"/>
        <v>18.168788000000006</v>
      </c>
      <c r="AY11" s="48">
        <v>80.180000000000007</v>
      </c>
      <c r="AZ11" s="48">
        <v>7.58</v>
      </c>
      <c r="BA11" s="48">
        <v>4.57</v>
      </c>
      <c r="BB11" s="49">
        <v>7.68</v>
      </c>
      <c r="BC11" s="36">
        <v>4.68</v>
      </c>
      <c r="BD11" t="s">
        <v>1157</v>
      </c>
      <c r="BE11" s="36">
        <v>8.1999999999999993</v>
      </c>
      <c r="BF11" t="s">
        <v>243</v>
      </c>
      <c r="BG11" s="37" t="s">
        <v>247</v>
      </c>
      <c r="BH11" s="19" t="s">
        <v>137</v>
      </c>
      <c r="BI11" s="8">
        <v>12757.8</v>
      </c>
      <c r="BJ11" s="8" t="s">
        <v>82</v>
      </c>
      <c r="BL11" s="21">
        <v>70.14</v>
      </c>
      <c r="BM11" s="21">
        <v>2019</v>
      </c>
      <c r="BN11" s="21" t="s">
        <v>138</v>
      </c>
      <c r="BO11" s="21">
        <v>0.5</v>
      </c>
    </row>
    <row r="12" spans="1:67" hidden="1" x14ac:dyDescent="0.25">
      <c r="A12" s="71" t="s">
        <v>309</v>
      </c>
      <c r="B12" s="27" t="s">
        <v>196</v>
      </c>
      <c r="C12" t="s">
        <v>310</v>
      </c>
      <c r="D12">
        <v>2022</v>
      </c>
      <c r="E12" t="s">
        <v>275</v>
      </c>
      <c r="F12" t="s">
        <v>66</v>
      </c>
      <c r="G12" t="s">
        <v>251</v>
      </c>
      <c r="H12" t="s">
        <v>277</v>
      </c>
      <c r="I12" t="s">
        <v>123</v>
      </c>
      <c r="J12" t="s">
        <v>311</v>
      </c>
      <c r="K12" t="s">
        <v>125</v>
      </c>
      <c r="L12" s="2">
        <v>652</v>
      </c>
      <c r="M12" t="s">
        <v>70</v>
      </c>
      <c r="N12" t="s">
        <v>312</v>
      </c>
      <c r="O12" s="2" t="s">
        <v>76</v>
      </c>
      <c r="P12" s="2" t="s">
        <v>76</v>
      </c>
      <c r="Q12" s="2" t="s">
        <v>76</v>
      </c>
      <c r="R12" s="2">
        <v>4</v>
      </c>
      <c r="S12" s="2" t="s">
        <v>76</v>
      </c>
      <c r="T12" s="2" t="s">
        <v>313</v>
      </c>
      <c r="U12" s="2" t="s">
        <v>128</v>
      </c>
      <c r="V12" t="s">
        <v>107</v>
      </c>
      <c r="W12" t="s">
        <v>314</v>
      </c>
      <c r="X12" t="s">
        <v>76</v>
      </c>
      <c r="Y12" t="s">
        <v>76</v>
      </c>
      <c r="Z12" t="s">
        <v>315</v>
      </c>
      <c r="AA12" t="s">
        <v>142</v>
      </c>
      <c r="AB12" t="s">
        <v>316</v>
      </c>
      <c r="AC12" t="s">
        <v>76</v>
      </c>
      <c r="AD12" t="s">
        <v>76</v>
      </c>
      <c r="AE12" t="s">
        <v>317</v>
      </c>
      <c r="AF12" t="s">
        <v>318</v>
      </c>
      <c r="AG12" t="s">
        <v>78</v>
      </c>
      <c r="AH12" t="s">
        <v>319</v>
      </c>
      <c r="AI12" t="s">
        <v>320</v>
      </c>
      <c r="AJ12" t="s">
        <v>306</v>
      </c>
      <c r="AK12" t="s">
        <v>212</v>
      </c>
      <c r="AL12">
        <v>44.86</v>
      </c>
      <c r="AM12">
        <v>93.1</v>
      </c>
      <c r="AN12">
        <v>83.7</v>
      </c>
      <c r="AO12">
        <v>62.4</v>
      </c>
      <c r="AP12">
        <v>83.7</v>
      </c>
      <c r="AQ12">
        <v>27.86</v>
      </c>
      <c r="AR12" s="47">
        <v>44.86</v>
      </c>
      <c r="AS12" s="48">
        <v>94.01</v>
      </c>
      <c r="AT12" s="48">
        <v>0</v>
      </c>
      <c r="AU12" s="48">
        <v>0.03</v>
      </c>
      <c r="AV12" s="49">
        <v>5.96</v>
      </c>
      <c r="AW12" s="53">
        <v>43.5</v>
      </c>
      <c r="AX12" s="48">
        <f t="shared" si="0"/>
        <v>38.349999999999994</v>
      </c>
      <c r="AY12" s="48">
        <v>81.849999999999994</v>
      </c>
      <c r="AZ12" s="48">
        <v>2.85</v>
      </c>
      <c r="BA12" s="48">
        <v>12.41</v>
      </c>
      <c r="BB12" s="49">
        <v>2.9</v>
      </c>
      <c r="BC12" s="36">
        <v>25.64</v>
      </c>
      <c r="BD12" t="s">
        <v>1158</v>
      </c>
      <c r="BE12" s="36">
        <v>6.9</v>
      </c>
      <c r="BF12" t="s">
        <v>243</v>
      </c>
      <c r="BG12" s="37" t="s">
        <v>247</v>
      </c>
      <c r="BH12" s="32" t="s">
        <v>1143</v>
      </c>
      <c r="BI12" s="8">
        <v>11628.6</v>
      </c>
      <c r="BJ12" s="8" t="s">
        <v>82</v>
      </c>
      <c r="BL12" s="22"/>
      <c r="BM12" s="22"/>
      <c r="BN12" s="22" t="s">
        <v>260</v>
      </c>
      <c r="BO12" s="22"/>
    </row>
    <row r="13" spans="1:67" x14ac:dyDescent="0.25">
      <c r="A13" s="71" t="s">
        <v>334</v>
      </c>
      <c r="B13" s="27" t="s">
        <v>196</v>
      </c>
      <c r="C13" t="s">
        <v>335</v>
      </c>
      <c r="D13">
        <v>2022</v>
      </c>
      <c r="E13" t="s">
        <v>336</v>
      </c>
      <c r="F13" t="s">
        <v>66</v>
      </c>
      <c r="G13" t="s">
        <v>337</v>
      </c>
      <c r="H13" t="s">
        <v>338</v>
      </c>
      <c r="I13" t="s">
        <v>68</v>
      </c>
      <c r="J13" t="s">
        <v>339</v>
      </c>
      <c r="K13" t="s">
        <v>296</v>
      </c>
      <c r="L13">
        <v>330</v>
      </c>
      <c r="M13" t="s">
        <v>70</v>
      </c>
      <c r="N13" t="s">
        <v>189</v>
      </c>
      <c r="O13" s="2">
        <v>118</v>
      </c>
      <c r="P13" s="2">
        <v>118</v>
      </c>
      <c r="Q13" s="2" t="s">
        <v>181</v>
      </c>
      <c r="R13" s="2">
        <v>3</v>
      </c>
      <c r="S13" s="2">
        <v>3</v>
      </c>
      <c r="T13" s="2" t="s">
        <v>340</v>
      </c>
      <c r="U13" t="s">
        <v>128</v>
      </c>
      <c r="V13" t="s">
        <v>75</v>
      </c>
      <c r="W13" t="s">
        <v>341</v>
      </c>
      <c r="X13" t="s">
        <v>342</v>
      </c>
      <c r="Y13" t="s">
        <v>76</v>
      </c>
      <c r="Z13" t="s">
        <v>333</v>
      </c>
      <c r="AA13" t="s">
        <v>142</v>
      </c>
      <c r="AB13" t="s">
        <v>76</v>
      </c>
      <c r="AC13" t="s">
        <v>76</v>
      </c>
      <c r="AD13" t="s">
        <v>76</v>
      </c>
      <c r="AE13" t="s">
        <v>343</v>
      </c>
      <c r="AF13" t="s">
        <v>166</v>
      </c>
      <c r="AG13" t="s">
        <v>95</v>
      </c>
      <c r="AH13" t="s">
        <v>344</v>
      </c>
      <c r="AI13" t="s">
        <v>345</v>
      </c>
      <c r="AJ13" t="s">
        <v>346</v>
      </c>
      <c r="AK13" t="s">
        <v>79</v>
      </c>
      <c r="AL13">
        <v>95.64</v>
      </c>
      <c r="AM13">
        <v>96.9</v>
      </c>
      <c r="AN13">
        <v>98.3</v>
      </c>
      <c r="AO13">
        <v>86.2</v>
      </c>
      <c r="AP13">
        <v>98.3</v>
      </c>
      <c r="AQ13">
        <v>97.74</v>
      </c>
      <c r="AR13" s="47">
        <v>95.64</v>
      </c>
      <c r="AS13" s="48">
        <v>97.41</v>
      </c>
      <c r="AT13" s="48">
        <v>0.33</v>
      </c>
      <c r="AU13" s="48">
        <v>0.16</v>
      </c>
      <c r="AV13" s="49">
        <v>2.1</v>
      </c>
      <c r="AW13" s="47">
        <v>84.3</v>
      </c>
      <c r="AX13" s="48">
        <f t="shared" si="0"/>
        <v>12.38000000000001</v>
      </c>
      <c r="AY13" s="48">
        <v>96.68</v>
      </c>
      <c r="AZ13" s="48">
        <v>2.11</v>
      </c>
      <c r="BA13" s="48">
        <v>1.05</v>
      </c>
      <c r="BB13" s="49">
        <v>0.16</v>
      </c>
      <c r="BC13" s="36">
        <v>6.88</v>
      </c>
      <c r="BD13" t="s">
        <v>1159</v>
      </c>
      <c r="BE13" s="36">
        <v>5.8</v>
      </c>
      <c r="BF13" t="s">
        <v>143</v>
      </c>
      <c r="BG13" s="37" t="s">
        <v>174</v>
      </c>
      <c r="BH13" s="19" t="s">
        <v>137</v>
      </c>
      <c r="BI13" s="8">
        <v>20843.3</v>
      </c>
      <c r="BJ13" s="8" t="s">
        <v>82</v>
      </c>
      <c r="BL13" s="23">
        <v>51.6</v>
      </c>
      <c r="BM13" s="23">
        <v>2020</v>
      </c>
      <c r="BN13" s="23" t="s">
        <v>347</v>
      </c>
      <c r="BO13" s="23">
        <v>0</v>
      </c>
    </row>
    <row r="14" spans="1:67" x14ac:dyDescent="0.25">
      <c r="A14" s="71" t="s">
        <v>349</v>
      </c>
      <c r="B14" s="27" t="s">
        <v>196</v>
      </c>
      <c r="C14" t="s">
        <v>350</v>
      </c>
      <c r="D14">
        <v>2023</v>
      </c>
      <c r="E14" t="s">
        <v>141</v>
      </c>
      <c r="F14" t="s">
        <v>66</v>
      </c>
      <c r="G14" t="s">
        <v>351</v>
      </c>
      <c r="H14" t="s">
        <v>352</v>
      </c>
      <c r="I14" t="s">
        <v>68</v>
      </c>
      <c r="J14" t="s">
        <v>353</v>
      </c>
      <c r="K14" t="s">
        <v>354</v>
      </c>
      <c r="L14" s="2">
        <v>150</v>
      </c>
      <c r="M14" t="s">
        <v>70</v>
      </c>
      <c r="N14" t="s">
        <v>193</v>
      </c>
      <c r="O14" s="2">
        <v>29</v>
      </c>
      <c r="P14" s="2">
        <v>28</v>
      </c>
      <c r="Q14" s="2" t="s">
        <v>355</v>
      </c>
      <c r="R14">
        <v>0</v>
      </c>
      <c r="S14">
        <v>0</v>
      </c>
      <c r="T14" s="5">
        <v>0</v>
      </c>
      <c r="U14" t="s">
        <v>128</v>
      </c>
      <c r="V14" t="s">
        <v>75</v>
      </c>
      <c r="W14" t="s">
        <v>298</v>
      </c>
      <c r="X14" t="s">
        <v>356</v>
      </c>
      <c r="Y14" t="s">
        <v>76</v>
      </c>
      <c r="Z14" t="s">
        <v>76</v>
      </c>
      <c r="AA14" t="s">
        <v>77</v>
      </c>
      <c r="AB14" t="s">
        <v>76</v>
      </c>
      <c r="AC14" t="s">
        <v>76</v>
      </c>
      <c r="AD14" t="s">
        <v>76</v>
      </c>
      <c r="AE14" t="s">
        <v>357</v>
      </c>
      <c r="AF14" t="s">
        <v>358</v>
      </c>
      <c r="AG14" t="s">
        <v>95</v>
      </c>
      <c r="AH14" s="1" t="s">
        <v>359</v>
      </c>
      <c r="AI14" t="s">
        <v>360</v>
      </c>
      <c r="AJ14">
        <v>2020</v>
      </c>
      <c r="AK14" t="s">
        <v>79</v>
      </c>
      <c r="AL14">
        <v>99.06</v>
      </c>
      <c r="AM14">
        <v>100</v>
      </c>
      <c r="AN14">
        <v>100</v>
      </c>
      <c r="AO14">
        <v>100</v>
      </c>
      <c r="AP14">
        <v>100</v>
      </c>
      <c r="AQ14">
        <v>98.1</v>
      </c>
      <c r="AR14" s="47">
        <v>98.59</v>
      </c>
      <c r="AS14" s="48">
        <v>99.08</v>
      </c>
      <c r="AT14" s="48">
        <v>0</v>
      </c>
      <c r="AU14" s="48">
        <v>0</v>
      </c>
      <c r="AV14" s="49">
        <v>0.92</v>
      </c>
      <c r="AW14" s="53">
        <v>99.02</v>
      </c>
      <c r="AX14" s="48">
        <f t="shared" si="0"/>
        <v>0.93466000000000804</v>
      </c>
      <c r="AY14" s="48">
        <v>99.954660000000004</v>
      </c>
      <c r="AZ14" s="48">
        <v>0</v>
      </c>
      <c r="BA14" s="48">
        <v>0.05</v>
      </c>
      <c r="BB14" s="49">
        <v>0</v>
      </c>
      <c r="BC14" s="36">
        <v>10.54</v>
      </c>
      <c r="BD14" t="s">
        <v>1160</v>
      </c>
      <c r="BE14" s="36">
        <v>3.8</v>
      </c>
      <c r="BF14" t="s">
        <v>143</v>
      </c>
      <c r="BG14" s="37" t="s">
        <v>174</v>
      </c>
      <c r="BH14" s="19" t="s">
        <v>137</v>
      </c>
      <c r="BI14" s="8">
        <v>44212.6</v>
      </c>
      <c r="BJ14" s="8" t="s">
        <v>82</v>
      </c>
      <c r="BL14" s="21">
        <v>20.66</v>
      </c>
      <c r="BM14" s="21">
        <v>2020</v>
      </c>
      <c r="BN14" s="21" t="s">
        <v>138</v>
      </c>
      <c r="BO14" s="21">
        <v>0.5</v>
      </c>
    </row>
    <row r="15" spans="1:67" hidden="1" x14ac:dyDescent="0.25">
      <c r="A15" s="71" t="s">
        <v>361</v>
      </c>
      <c r="B15" s="27" t="s">
        <v>196</v>
      </c>
      <c r="C15" t="s">
        <v>362</v>
      </c>
      <c r="D15">
        <v>2024</v>
      </c>
      <c r="E15" t="s">
        <v>363</v>
      </c>
      <c r="F15" t="s">
        <v>66</v>
      </c>
      <c r="G15" t="s">
        <v>348</v>
      </c>
      <c r="H15" t="s">
        <v>364</v>
      </c>
      <c r="I15" t="s">
        <v>68</v>
      </c>
      <c r="J15" t="s">
        <v>365</v>
      </c>
      <c r="K15" t="s">
        <v>69</v>
      </c>
      <c r="L15" s="2">
        <v>5064</v>
      </c>
      <c r="M15" t="s">
        <v>70</v>
      </c>
      <c r="N15" t="s">
        <v>312</v>
      </c>
      <c r="O15" t="s">
        <v>76</v>
      </c>
      <c r="P15" t="s">
        <v>76</v>
      </c>
      <c r="Q15" t="s">
        <v>76</v>
      </c>
      <c r="R15" s="2">
        <v>147</v>
      </c>
      <c r="S15" s="2">
        <v>147</v>
      </c>
      <c r="T15" s="3" t="s">
        <v>366</v>
      </c>
      <c r="U15" t="s">
        <v>128</v>
      </c>
      <c r="V15" t="s">
        <v>107</v>
      </c>
      <c r="W15" t="s">
        <v>367</v>
      </c>
      <c r="X15" t="s">
        <v>76</v>
      </c>
      <c r="Y15" t="s">
        <v>76</v>
      </c>
      <c r="Z15" t="s">
        <v>368</v>
      </c>
      <c r="AA15" t="s">
        <v>77</v>
      </c>
      <c r="AB15" t="s">
        <v>76</v>
      </c>
      <c r="AC15" t="s">
        <v>76</v>
      </c>
      <c r="AD15" t="s">
        <v>76</v>
      </c>
      <c r="AE15" t="s">
        <v>369</v>
      </c>
      <c r="AF15" t="s">
        <v>166</v>
      </c>
      <c r="AG15" t="s">
        <v>95</v>
      </c>
      <c r="AH15" s="1" t="s">
        <v>370</v>
      </c>
      <c r="AI15" t="s">
        <v>371</v>
      </c>
      <c r="AJ15" t="s">
        <v>346</v>
      </c>
      <c r="AK15" t="s">
        <v>79</v>
      </c>
      <c r="AL15">
        <v>95.64</v>
      </c>
      <c r="AM15">
        <v>96.9</v>
      </c>
      <c r="AN15">
        <v>98.3</v>
      </c>
      <c r="AO15">
        <v>86.2</v>
      </c>
      <c r="AP15">
        <v>98.3</v>
      </c>
      <c r="AQ15">
        <v>97.74</v>
      </c>
      <c r="AR15" s="47">
        <v>95.64</v>
      </c>
      <c r="AS15" s="48">
        <v>97.41</v>
      </c>
      <c r="AT15" s="48">
        <v>0.33</v>
      </c>
      <c r="AU15" s="48">
        <v>0.16</v>
      </c>
      <c r="AV15" s="49">
        <v>2.1</v>
      </c>
      <c r="AW15" s="47">
        <v>84.3</v>
      </c>
      <c r="AX15" s="48">
        <f t="shared" si="0"/>
        <v>12.38000000000001</v>
      </c>
      <c r="AY15" s="48">
        <v>96.68</v>
      </c>
      <c r="AZ15" s="48">
        <v>2.11</v>
      </c>
      <c r="BA15" s="48">
        <v>1.05</v>
      </c>
      <c r="BB15" s="49">
        <v>0.16</v>
      </c>
      <c r="BC15" s="36">
        <v>6.88</v>
      </c>
      <c r="BD15" t="s">
        <v>1159</v>
      </c>
      <c r="BE15" s="36">
        <v>5.8</v>
      </c>
      <c r="BF15" t="s">
        <v>143</v>
      </c>
      <c r="BG15" s="37" t="s">
        <v>174</v>
      </c>
      <c r="BH15" s="32" t="s">
        <v>1143</v>
      </c>
      <c r="BI15" s="8">
        <v>20843.3</v>
      </c>
      <c r="BJ15" s="8" t="s">
        <v>82</v>
      </c>
      <c r="BL15" s="23">
        <v>51.6</v>
      </c>
      <c r="BM15" s="23">
        <v>2020</v>
      </c>
      <c r="BN15" s="23" t="s">
        <v>347</v>
      </c>
      <c r="BO15" s="23">
        <v>0.5</v>
      </c>
    </row>
    <row r="16" spans="1:67" hidden="1" x14ac:dyDescent="0.25">
      <c r="A16" s="71" t="s">
        <v>185</v>
      </c>
      <c r="B16" s="27" t="s">
        <v>196</v>
      </c>
      <c r="C16" t="s">
        <v>375</v>
      </c>
      <c r="D16">
        <v>2022</v>
      </c>
      <c r="E16" t="s">
        <v>275</v>
      </c>
      <c r="F16" t="s">
        <v>66</v>
      </c>
      <c r="G16" t="s">
        <v>272</v>
      </c>
      <c r="H16" t="s">
        <v>376</v>
      </c>
      <c r="I16" t="s">
        <v>68</v>
      </c>
      <c r="J16" t="s">
        <v>377</v>
      </c>
      <c r="K16" t="s">
        <v>69</v>
      </c>
      <c r="L16">
        <v>1000</v>
      </c>
      <c r="M16" t="s">
        <v>90</v>
      </c>
      <c r="N16" t="s">
        <v>378</v>
      </c>
      <c r="O16" t="s">
        <v>76</v>
      </c>
      <c r="P16" t="s">
        <v>76</v>
      </c>
      <c r="Q16" t="s">
        <v>76</v>
      </c>
      <c r="R16">
        <v>61</v>
      </c>
      <c r="S16" s="2">
        <v>56</v>
      </c>
      <c r="T16" s="2" t="s">
        <v>111</v>
      </c>
      <c r="U16" t="s">
        <v>128</v>
      </c>
      <c r="V16" t="s">
        <v>379</v>
      </c>
      <c r="W16" t="s">
        <v>380</v>
      </c>
      <c r="X16" t="s">
        <v>76</v>
      </c>
      <c r="Y16" t="s">
        <v>76</v>
      </c>
      <c r="Z16" t="s">
        <v>76</v>
      </c>
      <c r="AA16" t="s">
        <v>77</v>
      </c>
      <c r="AB16" t="s">
        <v>76</v>
      </c>
      <c r="AC16" t="s">
        <v>76</v>
      </c>
      <c r="AD16" t="s">
        <v>76</v>
      </c>
      <c r="AE16" t="s">
        <v>381</v>
      </c>
      <c r="AF16" t="s">
        <v>94</v>
      </c>
      <c r="AG16" t="s">
        <v>78</v>
      </c>
      <c r="AH16" t="s">
        <v>382</v>
      </c>
      <c r="AI16" t="s">
        <v>383</v>
      </c>
      <c r="AJ16">
        <v>2018</v>
      </c>
      <c r="AK16" t="s">
        <v>79</v>
      </c>
      <c r="AL16">
        <v>95.97</v>
      </c>
      <c r="AM16">
        <v>79</v>
      </c>
      <c r="AN16">
        <v>84.5</v>
      </c>
      <c r="AO16">
        <v>86.7</v>
      </c>
      <c r="AP16">
        <v>84.5</v>
      </c>
      <c r="AQ16">
        <v>76.34</v>
      </c>
      <c r="AR16" s="47">
        <v>79.650000000000006</v>
      </c>
      <c r="AS16" s="48">
        <v>95.91</v>
      </c>
      <c r="AT16" s="48">
        <v>1.61</v>
      </c>
      <c r="AU16" s="48">
        <v>0.19</v>
      </c>
      <c r="AV16" s="49">
        <v>2.2999999999999998</v>
      </c>
      <c r="AW16" s="47">
        <v>49.5</v>
      </c>
      <c r="AX16" s="48">
        <f t="shared" si="0"/>
        <v>29.099999999999994</v>
      </c>
      <c r="AY16" s="48">
        <v>78.599999999999994</v>
      </c>
      <c r="AZ16" s="48">
        <v>15.08</v>
      </c>
      <c r="BA16" s="48">
        <v>1.63</v>
      </c>
      <c r="BB16" s="49">
        <v>4.6900000000000004</v>
      </c>
      <c r="BC16" s="36">
        <v>13.22</v>
      </c>
      <c r="BD16" t="s">
        <v>1161</v>
      </c>
      <c r="BE16" s="36">
        <v>9</v>
      </c>
      <c r="BF16" t="s">
        <v>243</v>
      </c>
      <c r="BG16" s="37" t="s">
        <v>273</v>
      </c>
      <c r="BH16" s="32" t="s">
        <v>1143</v>
      </c>
      <c r="BI16" s="8">
        <v>7702.2</v>
      </c>
      <c r="BJ16" s="8" t="s">
        <v>82</v>
      </c>
      <c r="BL16" s="21">
        <v>80.81</v>
      </c>
      <c r="BM16" s="21">
        <v>2019</v>
      </c>
      <c r="BN16" s="21" t="s">
        <v>138</v>
      </c>
      <c r="BO16" s="21">
        <v>0.5</v>
      </c>
    </row>
    <row r="17" spans="1:67" x14ac:dyDescent="0.25">
      <c r="A17" s="71" t="s">
        <v>387</v>
      </c>
      <c r="B17" s="27" t="s">
        <v>196</v>
      </c>
      <c r="C17" t="s">
        <v>388</v>
      </c>
      <c r="D17">
        <v>2025</v>
      </c>
      <c r="E17" t="s">
        <v>389</v>
      </c>
      <c r="F17" t="s">
        <v>66</v>
      </c>
      <c r="G17" t="s">
        <v>390</v>
      </c>
      <c r="H17" t="s">
        <v>391</v>
      </c>
      <c r="I17" t="s">
        <v>68</v>
      </c>
      <c r="J17" t="s">
        <v>392</v>
      </c>
      <c r="K17" t="s">
        <v>125</v>
      </c>
      <c r="L17">
        <v>714</v>
      </c>
      <c r="M17" t="s">
        <v>90</v>
      </c>
      <c r="N17" t="s">
        <v>393</v>
      </c>
      <c r="O17" s="2">
        <v>546</v>
      </c>
      <c r="P17" s="2" t="s">
        <v>76</v>
      </c>
      <c r="Q17" s="6" t="s">
        <v>394</v>
      </c>
      <c r="R17" s="2">
        <v>64</v>
      </c>
      <c r="S17" t="s">
        <v>76</v>
      </c>
      <c r="T17" s="2" t="s">
        <v>395</v>
      </c>
      <c r="U17" t="s">
        <v>128</v>
      </c>
      <c r="V17" t="s">
        <v>396</v>
      </c>
      <c r="W17" t="s">
        <v>298</v>
      </c>
      <c r="X17" t="s">
        <v>397</v>
      </c>
      <c r="Y17" t="s">
        <v>76</v>
      </c>
      <c r="Z17" t="s">
        <v>398</v>
      </c>
      <c r="AA17" t="s">
        <v>142</v>
      </c>
      <c r="AB17" t="s">
        <v>399</v>
      </c>
      <c r="AC17" t="s">
        <v>400</v>
      </c>
      <c r="AD17" t="s">
        <v>76</v>
      </c>
      <c r="AE17" t="s">
        <v>401</v>
      </c>
      <c r="AF17" t="s">
        <v>166</v>
      </c>
      <c r="AG17" t="s">
        <v>95</v>
      </c>
      <c r="AH17" s="1" t="s">
        <v>402</v>
      </c>
      <c r="AI17" t="s">
        <v>1144</v>
      </c>
      <c r="AJ17">
        <v>2018</v>
      </c>
      <c r="AK17" t="s">
        <v>79</v>
      </c>
      <c r="AL17">
        <v>51.85</v>
      </c>
      <c r="AM17">
        <v>84.3</v>
      </c>
      <c r="AN17">
        <v>64</v>
      </c>
      <c r="AO17">
        <v>86.2</v>
      </c>
      <c r="AP17">
        <v>64</v>
      </c>
      <c r="AQ17">
        <v>32.049999999999997</v>
      </c>
      <c r="AR17" s="47">
        <v>51.85</v>
      </c>
      <c r="AS17" s="48">
        <v>98.54</v>
      </c>
      <c r="AT17" s="48">
        <v>0.92</v>
      </c>
      <c r="AU17" s="48">
        <v>0.31</v>
      </c>
      <c r="AV17" s="49">
        <v>0.23</v>
      </c>
      <c r="AW17" s="53">
        <v>27.9</v>
      </c>
      <c r="AX17" s="48">
        <f t="shared" si="0"/>
        <v>33.270000000000003</v>
      </c>
      <c r="AY17" s="48">
        <v>61.17</v>
      </c>
      <c r="AZ17" s="48">
        <v>25.25</v>
      </c>
      <c r="BA17" s="48">
        <v>13.38</v>
      </c>
      <c r="BB17" s="49">
        <v>0.2</v>
      </c>
      <c r="BC17" s="36">
        <v>14.84</v>
      </c>
      <c r="BD17" t="s">
        <v>1162</v>
      </c>
      <c r="BE17" s="36">
        <v>9.3000000000000007</v>
      </c>
      <c r="BF17" t="s">
        <v>243</v>
      </c>
      <c r="BG17" s="37" t="s">
        <v>273</v>
      </c>
      <c r="BH17" s="19" t="s">
        <v>137</v>
      </c>
      <c r="BI17" s="8">
        <v>6838.3</v>
      </c>
      <c r="BJ17" s="8" t="s">
        <v>82</v>
      </c>
      <c r="BL17" s="21">
        <v>70</v>
      </c>
      <c r="BM17" s="21">
        <v>2018</v>
      </c>
      <c r="BN17" s="21" t="s">
        <v>138</v>
      </c>
      <c r="BO17" s="21">
        <v>0.5</v>
      </c>
    </row>
    <row r="18" spans="1:67" x14ac:dyDescent="0.25">
      <c r="A18" s="71" t="s">
        <v>403</v>
      </c>
      <c r="B18" s="27" t="s">
        <v>196</v>
      </c>
      <c r="C18" t="s">
        <v>388</v>
      </c>
      <c r="D18">
        <v>2025</v>
      </c>
      <c r="E18" t="s">
        <v>389</v>
      </c>
      <c r="F18" t="s">
        <v>66</v>
      </c>
      <c r="G18" t="s">
        <v>404</v>
      </c>
      <c r="H18" t="s">
        <v>391</v>
      </c>
      <c r="I18" t="s">
        <v>68</v>
      </c>
      <c r="J18" t="s">
        <v>392</v>
      </c>
      <c r="K18" t="s">
        <v>125</v>
      </c>
      <c r="L18">
        <v>700</v>
      </c>
      <c r="M18" t="s">
        <v>90</v>
      </c>
      <c r="N18" t="s">
        <v>393</v>
      </c>
      <c r="O18" s="2">
        <v>198</v>
      </c>
      <c r="P18" s="2" t="s">
        <v>76</v>
      </c>
      <c r="Q18" t="s">
        <v>405</v>
      </c>
      <c r="R18" s="2">
        <v>4</v>
      </c>
      <c r="S18" t="s">
        <v>76</v>
      </c>
      <c r="T18" s="2" t="s">
        <v>313</v>
      </c>
      <c r="U18" t="s">
        <v>128</v>
      </c>
      <c r="V18" t="s">
        <v>396</v>
      </c>
      <c r="W18" t="s">
        <v>298</v>
      </c>
      <c r="X18" t="s">
        <v>397</v>
      </c>
      <c r="Y18" t="s">
        <v>76</v>
      </c>
      <c r="Z18" t="s">
        <v>398</v>
      </c>
      <c r="AA18" t="s">
        <v>142</v>
      </c>
      <c r="AB18" t="s">
        <v>399</v>
      </c>
      <c r="AC18" t="s">
        <v>400</v>
      </c>
      <c r="AD18" t="s">
        <v>76</v>
      </c>
      <c r="AE18" t="s">
        <v>401</v>
      </c>
      <c r="AF18" t="s">
        <v>166</v>
      </c>
      <c r="AG18" t="s">
        <v>95</v>
      </c>
      <c r="AH18" t="s">
        <v>402</v>
      </c>
      <c r="AI18" t="s">
        <v>1145</v>
      </c>
      <c r="AJ18">
        <v>2018</v>
      </c>
      <c r="AK18" t="s">
        <v>79</v>
      </c>
      <c r="AL18">
        <v>82.82</v>
      </c>
      <c r="AM18">
        <v>94</v>
      </c>
      <c r="AN18">
        <v>100</v>
      </c>
      <c r="AO18">
        <v>53</v>
      </c>
      <c r="AP18">
        <v>52.6</v>
      </c>
      <c r="AQ18">
        <v>95.63</v>
      </c>
      <c r="AR18" s="47">
        <v>72.86</v>
      </c>
      <c r="AS18" s="48">
        <v>97.33</v>
      </c>
      <c r="AT18" s="48">
        <v>0.44</v>
      </c>
      <c r="AU18" s="48">
        <v>0.12</v>
      </c>
      <c r="AV18" s="49">
        <v>2.12</v>
      </c>
      <c r="AW18" s="50">
        <f>0.88*AY18</f>
        <v>67.628</v>
      </c>
      <c r="AX18" s="48">
        <f t="shared" si="0"/>
        <v>9.2219999999999942</v>
      </c>
      <c r="AY18" s="48">
        <v>76.849999999999994</v>
      </c>
      <c r="AZ18" s="48">
        <v>15.66</v>
      </c>
      <c r="BA18" s="48">
        <v>5.71</v>
      </c>
      <c r="BB18" s="49">
        <v>1.78</v>
      </c>
      <c r="BC18" s="41">
        <v>10</v>
      </c>
      <c r="BD18" t="s">
        <v>1202</v>
      </c>
      <c r="BE18" s="36">
        <v>9.8000000000000007</v>
      </c>
      <c r="BF18" t="s">
        <v>243</v>
      </c>
      <c r="BG18" s="37" t="s">
        <v>406</v>
      </c>
      <c r="BH18" s="19" t="s">
        <v>137</v>
      </c>
      <c r="BI18" s="8">
        <v>18106</v>
      </c>
      <c r="BJ18" s="8" t="s">
        <v>82</v>
      </c>
      <c r="BL18" s="22"/>
      <c r="BM18" s="22"/>
      <c r="BN18" s="22" t="s">
        <v>260</v>
      </c>
      <c r="BO18" s="22"/>
    </row>
    <row r="19" spans="1:67" x14ac:dyDescent="0.25">
      <c r="A19" s="71" t="s">
        <v>407</v>
      </c>
      <c r="B19" s="27" t="s">
        <v>196</v>
      </c>
      <c r="C19" t="s">
        <v>388</v>
      </c>
      <c r="D19">
        <v>2025</v>
      </c>
      <c r="E19" t="s">
        <v>389</v>
      </c>
      <c r="F19" t="s">
        <v>66</v>
      </c>
      <c r="G19" t="s">
        <v>404</v>
      </c>
      <c r="H19" t="s">
        <v>391</v>
      </c>
      <c r="I19" t="s">
        <v>123</v>
      </c>
      <c r="J19" t="s">
        <v>392</v>
      </c>
      <c r="K19" t="s">
        <v>125</v>
      </c>
      <c r="L19">
        <v>1300</v>
      </c>
      <c r="M19" t="s">
        <v>90</v>
      </c>
      <c r="N19" t="s">
        <v>393</v>
      </c>
      <c r="O19" s="2">
        <v>290</v>
      </c>
      <c r="P19" s="2" t="s">
        <v>76</v>
      </c>
      <c r="Q19" t="s">
        <v>408</v>
      </c>
      <c r="R19" s="2">
        <v>8</v>
      </c>
      <c r="S19" t="s">
        <v>76</v>
      </c>
      <c r="T19" s="2" t="s">
        <v>313</v>
      </c>
      <c r="U19" t="s">
        <v>128</v>
      </c>
      <c r="V19" t="s">
        <v>396</v>
      </c>
      <c r="W19" t="s">
        <v>298</v>
      </c>
      <c r="X19" t="s">
        <v>397</v>
      </c>
      <c r="Y19" t="s">
        <v>76</v>
      </c>
      <c r="Z19" t="s">
        <v>398</v>
      </c>
      <c r="AA19" t="s">
        <v>142</v>
      </c>
      <c r="AB19" t="s">
        <v>399</v>
      </c>
      <c r="AC19" t="s">
        <v>400</v>
      </c>
      <c r="AD19" t="s">
        <v>76</v>
      </c>
      <c r="AE19" t="s">
        <v>401</v>
      </c>
      <c r="AF19" t="s">
        <v>166</v>
      </c>
      <c r="AG19" t="s">
        <v>95</v>
      </c>
      <c r="AH19" t="s">
        <v>402</v>
      </c>
      <c r="AI19" t="s">
        <v>1146</v>
      </c>
      <c r="AJ19">
        <v>2018</v>
      </c>
      <c r="AK19" t="s">
        <v>79</v>
      </c>
      <c r="AL19">
        <v>71.78</v>
      </c>
      <c r="AM19">
        <v>94</v>
      </c>
      <c r="AN19">
        <v>100</v>
      </c>
      <c r="AO19">
        <v>53</v>
      </c>
      <c r="AP19">
        <v>52.6</v>
      </c>
      <c r="AQ19">
        <v>71.11</v>
      </c>
      <c r="AR19" s="47">
        <v>66.36</v>
      </c>
      <c r="AS19" s="48">
        <v>77.709999999999994</v>
      </c>
      <c r="AT19" s="48">
        <v>14.9</v>
      </c>
      <c r="AU19" s="48">
        <v>2.29</v>
      </c>
      <c r="AV19" s="49">
        <v>5.0999999999999996</v>
      </c>
      <c r="AW19" s="50">
        <f>0.88*AY19</f>
        <v>46.877600000000001</v>
      </c>
      <c r="AX19" s="48">
        <f t="shared" si="0"/>
        <v>6.3924000000000021</v>
      </c>
      <c r="AY19" s="48">
        <v>53.27</v>
      </c>
      <c r="AZ19" s="48">
        <v>12.67</v>
      </c>
      <c r="BA19" s="48">
        <v>11.89</v>
      </c>
      <c r="BB19" s="49">
        <v>22.16</v>
      </c>
      <c r="BC19" s="41">
        <v>10</v>
      </c>
      <c r="BD19" t="s">
        <v>1202</v>
      </c>
      <c r="BE19" s="36">
        <v>9.8000000000000007</v>
      </c>
      <c r="BF19" t="s">
        <v>243</v>
      </c>
      <c r="BG19" s="37" t="s">
        <v>406</v>
      </c>
      <c r="BH19" s="19" t="s">
        <v>137</v>
      </c>
      <c r="BI19" s="8">
        <v>18106</v>
      </c>
      <c r="BJ19" s="8" t="s">
        <v>82</v>
      </c>
      <c r="BL19" s="22"/>
      <c r="BM19" s="22"/>
      <c r="BN19" s="22" t="s">
        <v>260</v>
      </c>
      <c r="BO19" s="22"/>
    </row>
    <row r="20" spans="1:67" x14ac:dyDescent="0.25">
      <c r="A20" s="71" t="s">
        <v>409</v>
      </c>
      <c r="B20" s="27" t="s">
        <v>196</v>
      </c>
      <c r="C20" t="s">
        <v>388</v>
      </c>
      <c r="D20">
        <v>2025</v>
      </c>
      <c r="E20" t="s">
        <v>389</v>
      </c>
      <c r="F20" t="s">
        <v>66</v>
      </c>
      <c r="G20" t="s">
        <v>410</v>
      </c>
      <c r="H20" t="s">
        <v>391</v>
      </c>
      <c r="I20" t="s">
        <v>68</v>
      </c>
      <c r="J20" t="s">
        <v>392</v>
      </c>
      <c r="K20" t="s">
        <v>125</v>
      </c>
      <c r="L20">
        <v>357</v>
      </c>
      <c r="M20" t="s">
        <v>90</v>
      </c>
      <c r="N20" t="s">
        <v>393</v>
      </c>
      <c r="O20" s="2">
        <v>79</v>
      </c>
      <c r="P20" s="2" t="s">
        <v>76</v>
      </c>
      <c r="Q20" t="s">
        <v>411</v>
      </c>
      <c r="R20" s="2">
        <v>16</v>
      </c>
      <c r="S20" t="s">
        <v>76</v>
      </c>
      <c r="T20" s="2" t="s">
        <v>127</v>
      </c>
      <c r="U20" t="s">
        <v>128</v>
      </c>
      <c r="V20" t="s">
        <v>396</v>
      </c>
      <c r="W20" t="s">
        <v>298</v>
      </c>
      <c r="X20" t="s">
        <v>397</v>
      </c>
      <c r="Y20" t="s">
        <v>76</v>
      </c>
      <c r="Z20" t="s">
        <v>398</v>
      </c>
      <c r="AA20" t="s">
        <v>142</v>
      </c>
      <c r="AB20" t="s">
        <v>399</v>
      </c>
      <c r="AC20" t="s">
        <v>400</v>
      </c>
      <c r="AD20" t="s">
        <v>76</v>
      </c>
      <c r="AE20" t="s">
        <v>401</v>
      </c>
      <c r="AF20" t="s">
        <v>166</v>
      </c>
      <c r="AG20" t="s">
        <v>95</v>
      </c>
      <c r="AH20" t="s">
        <v>402</v>
      </c>
      <c r="AI20" t="s">
        <v>1147</v>
      </c>
      <c r="AJ20">
        <v>2018</v>
      </c>
      <c r="AK20" t="s">
        <v>79</v>
      </c>
      <c r="AL20">
        <v>99.34</v>
      </c>
      <c r="AM20">
        <v>99.7</v>
      </c>
      <c r="AN20">
        <v>100</v>
      </c>
      <c r="AO20">
        <v>92.1</v>
      </c>
      <c r="AP20">
        <v>85</v>
      </c>
      <c r="AQ20">
        <v>99.71</v>
      </c>
      <c r="AR20" s="47">
        <v>99.13</v>
      </c>
      <c r="AS20" s="48">
        <v>99.71</v>
      </c>
      <c r="AT20" s="48">
        <v>0</v>
      </c>
      <c r="AU20" s="48">
        <v>0.16</v>
      </c>
      <c r="AV20" s="49">
        <v>0.13</v>
      </c>
      <c r="AW20" s="47">
        <v>98.5</v>
      </c>
      <c r="AX20" s="48">
        <f t="shared" si="0"/>
        <v>1.1099999999999994</v>
      </c>
      <c r="AY20" s="48">
        <v>99.61</v>
      </c>
      <c r="AZ20" s="48">
        <v>0</v>
      </c>
      <c r="BA20" s="48">
        <v>0</v>
      </c>
      <c r="BB20" s="49">
        <v>0.39</v>
      </c>
      <c r="BC20" s="36">
        <v>10.42</v>
      </c>
      <c r="BD20" t="s">
        <v>1163</v>
      </c>
      <c r="BE20" s="36">
        <v>6.3</v>
      </c>
      <c r="BF20" t="s">
        <v>243</v>
      </c>
      <c r="BG20" s="37" t="s">
        <v>328</v>
      </c>
      <c r="BH20" s="19" t="s">
        <v>137</v>
      </c>
      <c r="BI20" s="8">
        <v>28228</v>
      </c>
      <c r="BJ20" s="8" t="s">
        <v>82</v>
      </c>
      <c r="BL20" s="22"/>
      <c r="BM20" s="22"/>
      <c r="BN20" s="22" t="s">
        <v>260</v>
      </c>
      <c r="BO20" s="22"/>
    </row>
    <row r="21" spans="1:67" x14ac:dyDescent="0.25">
      <c r="A21" s="71" t="s">
        <v>412</v>
      </c>
      <c r="B21" s="27" t="s">
        <v>196</v>
      </c>
      <c r="C21" t="s">
        <v>388</v>
      </c>
      <c r="D21">
        <v>2025</v>
      </c>
      <c r="E21" t="s">
        <v>389</v>
      </c>
      <c r="F21" t="s">
        <v>66</v>
      </c>
      <c r="G21" t="s">
        <v>413</v>
      </c>
      <c r="H21" t="s">
        <v>391</v>
      </c>
      <c r="I21" t="s">
        <v>68</v>
      </c>
      <c r="J21" t="s">
        <v>392</v>
      </c>
      <c r="K21" t="s">
        <v>125</v>
      </c>
      <c r="L21">
        <v>204</v>
      </c>
      <c r="M21" t="s">
        <v>90</v>
      </c>
      <c r="N21" t="s">
        <v>393</v>
      </c>
      <c r="O21" s="2">
        <v>93</v>
      </c>
      <c r="P21" s="2" t="s">
        <v>76</v>
      </c>
      <c r="Q21" t="s">
        <v>414</v>
      </c>
      <c r="R21" s="2">
        <v>3</v>
      </c>
      <c r="S21" t="s">
        <v>76</v>
      </c>
      <c r="T21" s="2" t="s">
        <v>415</v>
      </c>
      <c r="U21" t="s">
        <v>128</v>
      </c>
      <c r="V21" t="s">
        <v>396</v>
      </c>
      <c r="W21" t="s">
        <v>298</v>
      </c>
      <c r="X21" t="s">
        <v>397</v>
      </c>
      <c r="Y21" t="s">
        <v>76</v>
      </c>
      <c r="Z21" t="s">
        <v>398</v>
      </c>
      <c r="AA21" t="s">
        <v>142</v>
      </c>
      <c r="AB21" t="s">
        <v>399</v>
      </c>
      <c r="AC21" t="s">
        <v>400</v>
      </c>
      <c r="AD21" t="s">
        <v>76</v>
      </c>
      <c r="AE21" t="s">
        <v>401</v>
      </c>
      <c r="AF21" t="s">
        <v>166</v>
      </c>
      <c r="AG21" t="s">
        <v>95</v>
      </c>
      <c r="AH21" t="s">
        <v>402</v>
      </c>
      <c r="AI21" t="s">
        <v>1148</v>
      </c>
      <c r="AJ21">
        <v>2018</v>
      </c>
      <c r="AK21" t="s">
        <v>79</v>
      </c>
      <c r="AL21">
        <v>67.48</v>
      </c>
      <c r="AM21">
        <v>90.6</v>
      </c>
      <c r="AN21">
        <v>83.2</v>
      </c>
      <c r="AO21">
        <v>87</v>
      </c>
      <c r="AP21">
        <v>83.2</v>
      </c>
      <c r="AQ21">
        <v>88.5</v>
      </c>
      <c r="AR21" s="47">
        <v>53.79</v>
      </c>
      <c r="AS21" s="48">
        <v>96.51</v>
      </c>
      <c r="AT21" s="48">
        <v>0.65</v>
      </c>
      <c r="AU21" s="48">
        <v>0.26</v>
      </c>
      <c r="AV21" s="49">
        <v>2.57</v>
      </c>
      <c r="AW21" s="47">
        <v>53.8</v>
      </c>
      <c r="AX21" s="48">
        <f t="shared" si="0"/>
        <v>26.58</v>
      </c>
      <c r="AY21" s="48">
        <v>80.38</v>
      </c>
      <c r="AZ21" s="48">
        <v>10.97</v>
      </c>
      <c r="BA21" s="48">
        <v>7.43</v>
      </c>
      <c r="BB21" s="49">
        <v>1.22</v>
      </c>
      <c r="BC21" s="36">
        <v>4.71</v>
      </c>
      <c r="BD21" t="s">
        <v>1164</v>
      </c>
      <c r="BE21" s="36">
        <v>12.3</v>
      </c>
      <c r="BF21" t="s">
        <v>243</v>
      </c>
      <c r="BG21" s="37" t="s">
        <v>386</v>
      </c>
      <c r="BH21" s="19" t="s">
        <v>137</v>
      </c>
      <c r="BI21" s="8">
        <v>11466.4</v>
      </c>
      <c r="BJ21" s="8" t="s">
        <v>82</v>
      </c>
      <c r="BL21" s="22"/>
      <c r="BM21" s="22"/>
      <c r="BN21" s="22" t="s">
        <v>260</v>
      </c>
      <c r="BO21" s="22"/>
    </row>
    <row r="22" spans="1:67" x14ac:dyDescent="0.25">
      <c r="A22" s="71" t="s">
        <v>416</v>
      </c>
      <c r="B22" s="27" t="s">
        <v>196</v>
      </c>
      <c r="C22" t="s">
        <v>388</v>
      </c>
      <c r="D22">
        <v>2025</v>
      </c>
      <c r="E22" t="s">
        <v>389</v>
      </c>
      <c r="F22" t="s">
        <v>66</v>
      </c>
      <c r="G22" t="s">
        <v>413</v>
      </c>
      <c r="H22" t="s">
        <v>391</v>
      </c>
      <c r="I22" t="s">
        <v>123</v>
      </c>
      <c r="J22" t="s">
        <v>392</v>
      </c>
      <c r="K22" t="s">
        <v>125</v>
      </c>
      <c r="L22">
        <v>377</v>
      </c>
      <c r="M22" t="s">
        <v>90</v>
      </c>
      <c r="N22" t="s">
        <v>393</v>
      </c>
      <c r="O22" s="2">
        <v>148</v>
      </c>
      <c r="P22" s="2" t="s">
        <v>76</v>
      </c>
      <c r="Q22" t="s">
        <v>417</v>
      </c>
      <c r="R22" s="2">
        <v>6</v>
      </c>
      <c r="S22" t="s">
        <v>76</v>
      </c>
      <c r="T22" s="2" t="s">
        <v>415</v>
      </c>
      <c r="U22" t="s">
        <v>128</v>
      </c>
      <c r="V22" t="s">
        <v>396</v>
      </c>
      <c r="W22" t="s">
        <v>298</v>
      </c>
      <c r="X22" t="s">
        <v>397</v>
      </c>
      <c r="Y22" t="s">
        <v>76</v>
      </c>
      <c r="Z22" t="s">
        <v>398</v>
      </c>
      <c r="AA22" t="s">
        <v>142</v>
      </c>
      <c r="AB22" t="s">
        <v>399</v>
      </c>
      <c r="AC22" t="s">
        <v>400</v>
      </c>
      <c r="AD22" t="s">
        <v>76</v>
      </c>
      <c r="AE22" t="s">
        <v>401</v>
      </c>
      <c r="AF22" t="s">
        <v>166</v>
      </c>
      <c r="AG22" t="s">
        <v>95</v>
      </c>
      <c r="AH22" t="s">
        <v>402</v>
      </c>
      <c r="AI22" t="s">
        <v>1149</v>
      </c>
      <c r="AJ22">
        <v>2018</v>
      </c>
      <c r="AK22" t="s">
        <v>79</v>
      </c>
      <c r="AL22">
        <v>44.31</v>
      </c>
      <c r="AM22">
        <v>90.6</v>
      </c>
      <c r="AN22">
        <v>83.2</v>
      </c>
      <c r="AO22">
        <v>87</v>
      </c>
      <c r="AP22">
        <v>83.2</v>
      </c>
      <c r="AQ22">
        <v>64.41</v>
      </c>
      <c r="AR22" s="47">
        <v>44.31</v>
      </c>
      <c r="AS22" s="48">
        <v>87.41</v>
      </c>
      <c r="AT22" s="48">
        <v>2.1</v>
      </c>
      <c r="AU22" s="48">
        <v>3.46</v>
      </c>
      <c r="AV22" s="49">
        <v>7.03</v>
      </c>
      <c r="AW22" s="60">
        <f>0.59*AY22</f>
        <v>33.081299999999999</v>
      </c>
      <c r="AX22" s="48">
        <f t="shared" si="0"/>
        <v>22.988700000000001</v>
      </c>
      <c r="AY22" s="48">
        <v>56.07</v>
      </c>
      <c r="AZ22" s="48">
        <v>10.38</v>
      </c>
      <c r="BA22" s="48">
        <v>28.11</v>
      </c>
      <c r="BB22" s="49">
        <v>5.45</v>
      </c>
      <c r="BC22" s="36">
        <v>4.71</v>
      </c>
      <c r="BD22" t="s">
        <v>1164</v>
      </c>
      <c r="BE22" s="36">
        <v>12.3</v>
      </c>
      <c r="BF22" t="s">
        <v>243</v>
      </c>
      <c r="BG22" s="37" t="s">
        <v>386</v>
      </c>
      <c r="BH22" s="19" t="s">
        <v>137</v>
      </c>
      <c r="BI22" s="8">
        <v>11466.4</v>
      </c>
      <c r="BJ22" s="8" t="s">
        <v>82</v>
      </c>
      <c r="BL22" s="22"/>
      <c r="BM22" s="22"/>
      <c r="BN22" s="22" t="s">
        <v>260</v>
      </c>
      <c r="BO22" s="22"/>
    </row>
    <row r="23" spans="1:67" x14ac:dyDescent="0.25">
      <c r="A23" s="71" t="s">
        <v>418</v>
      </c>
      <c r="B23" s="27" t="s">
        <v>196</v>
      </c>
      <c r="C23" t="s">
        <v>388</v>
      </c>
      <c r="D23">
        <v>2025</v>
      </c>
      <c r="E23" t="s">
        <v>389</v>
      </c>
      <c r="F23" t="s">
        <v>66</v>
      </c>
      <c r="G23" t="s">
        <v>272</v>
      </c>
      <c r="H23" t="s">
        <v>391</v>
      </c>
      <c r="I23" t="s">
        <v>68</v>
      </c>
      <c r="J23" t="s">
        <v>392</v>
      </c>
      <c r="K23" t="s">
        <v>125</v>
      </c>
      <c r="L23">
        <v>757</v>
      </c>
      <c r="M23" t="s">
        <v>90</v>
      </c>
      <c r="N23" t="s">
        <v>393</v>
      </c>
      <c r="O23" s="2">
        <v>574</v>
      </c>
      <c r="P23" s="2" t="s">
        <v>76</v>
      </c>
      <c r="Q23" t="s">
        <v>419</v>
      </c>
      <c r="R23" s="2">
        <v>107</v>
      </c>
      <c r="S23" t="s">
        <v>76</v>
      </c>
      <c r="T23" s="2" t="s">
        <v>420</v>
      </c>
      <c r="U23" t="s">
        <v>128</v>
      </c>
      <c r="V23" t="s">
        <v>396</v>
      </c>
      <c r="W23" t="s">
        <v>298</v>
      </c>
      <c r="X23" t="s">
        <v>397</v>
      </c>
      <c r="Y23" t="s">
        <v>76</v>
      </c>
      <c r="Z23" t="s">
        <v>398</v>
      </c>
      <c r="AA23" t="s">
        <v>142</v>
      </c>
      <c r="AB23" t="s">
        <v>399</v>
      </c>
      <c r="AC23" t="s">
        <v>400</v>
      </c>
      <c r="AD23" t="s">
        <v>76</v>
      </c>
      <c r="AE23" t="s">
        <v>401</v>
      </c>
      <c r="AF23" t="s">
        <v>166</v>
      </c>
      <c r="AG23" t="s">
        <v>95</v>
      </c>
      <c r="AH23" t="s">
        <v>402</v>
      </c>
      <c r="AI23" t="s">
        <v>1150</v>
      </c>
      <c r="AJ23">
        <v>2018</v>
      </c>
      <c r="AK23" t="s">
        <v>79</v>
      </c>
      <c r="AL23">
        <v>95.97</v>
      </c>
      <c r="AM23">
        <v>79</v>
      </c>
      <c r="AN23">
        <v>84.5</v>
      </c>
      <c r="AO23">
        <v>86.7</v>
      </c>
      <c r="AP23">
        <v>84.5</v>
      </c>
      <c r="AQ23">
        <v>76.34</v>
      </c>
      <c r="AR23" s="47">
        <v>79.650000000000006</v>
      </c>
      <c r="AS23" s="48">
        <v>95.91</v>
      </c>
      <c r="AT23" s="48">
        <v>1.61</v>
      </c>
      <c r="AU23" s="48">
        <v>0.19</v>
      </c>
      <c r="AV23" s="49">
        <v>2.2999999999999998</v>
      </c>
      <c r="AW23" s="47">
        <v>48.2</v>
      </c>
      <c r="AX23" s="48">
        <f t="shared" si="0"/>
        <v>30.399999999999991</v>
      </c>
      <c r="AY23" s="48">
        <v>78.599999999999994</v>
      </c>
      <c r="AZ23" s="48">
        <v>15.08</v>
      </c>
      <c r="BA23" s="48">
        <v>1.63</v>
      </c>
      <c r="BB23" s="49">
        <v>4.6900000000000004</v>
      </c>
      <c r="BC23" s="36">
        <v>13.22</v>
      </c>
      <c r="BD23" t="s">
        <v>1161</v>
      </c>
      <c r="BE23" s="36">
        <v>9</v>
      </c>
      <c r="BF23" t="s">
        <v>243</v>
      </c>
      <c r="BG23" s="37" t="s">
        <v>273</v>
      </c>
      <c r="BH23" s="19" t="s">
        <v>137</v>
      </c>
      <c r="BI23" s="8">
        <v>7702.2</v>
      </c>
      <c r="BJ23" s="8" t="s">
        <v>82</v>
      </c>
      <c r="BL23" s="21">
        <v>78.83</v>
      </c>
      <c r="BM23" s="21">
        <v>2018</v>
      </c>
      <c r="BN23" s="21" t="s">
        <v>138</v>
      </c>
      <c r="BO23" s="21">
        <v>0.5</v>
      </c>
    </row>
    <row r="24" spans="1:67" x14ac:dyDescent="0.25">
      <c r="A24" s="71" t="s">
        <v>421</v>
      </c>
      <c r="B24" s="27" t="s">
        <v>196</v>
      </c>
      <c r="C24" t="s">
        <v>388</v>
      </c>
      <c r="D24">
        <v>2025</v>
      </c>
      <c r="E24" t="s">
        <v>389</v>
      </c>
      <c r="F24" t="s">
        <v>66</v>
      </c>
      <c r="G24" t="s">
        <v>422</v>
      </c>
      <c r="H24" t="s">
        <v>391</v>
      </c>
      <c r="I24" t="s">
        <v>68</v>
      </c>
      <c r="J24" t="s">
        <v>392</v>
      </c>
      <c r="K24" t="s">
        <v>125</v>
      </c>
      <c r="L24">
        <v>884</v>
      </c>
      <c r="M24" t="s">
        <v>90</v>
      </c>
      <c r="N24" t="s">
        <v>393</v>
      </c>
      <c r="O24" s="2">
        <v>443</v>
      </c>
      <c r="P24" s="2" t="s">
        <v>76</v>
      </c>
      <c r="Q24" t="s">
        <v>423</v>
      </c>
      <c r="R24" s="2">
        <v>9</v>
      </c>
      <c r="S24" t="s">
        <v>76</v>
      </c>
      <c r="T24" s="2" t="s">
        <v>424</v>
      </c>
      <c r="U24" t="s">
        <v>128</v>
      </c>
      <c r="V24" t="s">
        <v>396</v>
      </c>
      <c r="W24" t="s">
        <v>298</v>
      </c>
      <c r="X24" t="s">
        <v>397</v>
      </c>
      <c r="Y24" t="s">
        <v>76</v>
      </c>
      <c r="Z24" t="s">
        <v>398</v>
      </c>
      <c r="AA24" t="s">
        <v>142</v>
      </c>
      <c r="AB24" t="s">
        <v>399</v>
      </c>
      <c r="AC24" t="s">
        <v>400</v>
      </c>
      <c r="AD24" t="s">
        <v>76</v>
      </c>
      <c r="AE24" t="s">
        <v>401</v>
      </c>
      <c r="AF24" t="s">
        <v>166</v>
      </c>
      <c r="AG24" t="s">
        <v>95</v>
      </c>
      <c r="AH24" t="s">
        <v>402</v>
      </c>
      <c r="AI24" s="15" t="s">
        <v>1151</v>
      </c>
      <c r="AJ24">
        <v>2018</v>
      </c>
      <c r="AK24" t="s">
        <v>79</v>
      </c>
      <c r="AL24" t="s">
        <v>178</v>
      </c>
      <c r="AM24">
        <v>61.8</v>
      </c>
      <c r="AN24">
        <v>37.1</v>
      </c>
      <c r="AO24">
        <v>84.5</v>
      </c>
      <c r="AP24">
        <v>37.1</v>
      </c>
      <c r="AQ24">
        <v>64.900000000000006</v>
      </c>
      <c r="AR24" s="58">
        <v>53.58</v>
      </c>
      <c r="AS24" s="48">
        <v>88.16</v>
      </c>
      <c r="AT24" s="48">
        <v>3.58</v>
      </c>
      <c r="AU24" s="48">
        <v>4.76</v>
      </c>
      <c r="AV24" s="49">
        <v>3.5</v>
      </c>
      <c r="AW24" s="47">
        <v>26.3</v>
      </c>
      <c r="AX24" s="48">
        <f t="shared" si="0"/>
        <v>11.109999999999996</v>
      </c>
      <c r="AY24" s="48">
        <v>37.409999999999997</v>
      </c>
      <c r="AZ24" s="48">
        <v>47.36</v>
      </c>
      <c r="BA24" s="48">
        <v>14.06</v>
      </c>
      <c r="BB24" s="49">
        <v>1.17</v>
      </c>
      <c r="BC24" s="36">
        <v>14.3</v>
      </c>
      <c r="BD24" t="s">
        <v>1218</v>
      </c>
      <c r="BE24" s="36">
        <v>13.8</v>
      </c>
      <c r="BF24" t="s">
        <v>243</v>
      </c>
      <c r="BG24" s="37" t="s">
        <v>187</v>
      </c>
      <c r="BH24" s="19" t="s">
        <v>137</v>
      </c>
      <c r="BI24" s="8">
        <v>5171.7</v>
      </c>
      <c r="BJ24" s="8" t="s">
        <v>82</v>
      </c>
      <c r="BK24" s="15">
        <v>12.85</v>
      </c>
      <c r="BL24" s="21">
        <v>78.05</v>
      </c>
      <c r="BM24" s="21">
        <v>2021</v>
      </c>
      <c r="BN24" s="21" t="s">
        <v>138</v>
      </c>
      <c r="BO24" s="21">
        <v>3.5</v>
      </c>
    </row>
    <row r="25" spans="1:67" x14ac:dyDescent="0.25">
      <c r="A25" s="71" t="s">
        <v>425</v>
      </c>
      <c r="B25" s="27" t="s">
        <v>196</v>
      </c>
      <c r="C25" t="s">
        <v>388</v>
      </c>
      <c r="D25">
        <v>2025</v>
      </c>
      <c r="E25" t="s">
        <v>389</v>
      </c>
      <c r="F25" t="s">
        <v>66</v>
      </c>
      <c r="G25" t="s">
        <v>422</v>
      </c>
      <c r="H25" t="s">
        <v>391</v>
      </c>
      <c r="I25" t="s">
        <v>123</v>
      </c>
      <c r="J25" t="s">
        <v>392</v>
      </c>
      <c r="K25" t="s">
        <v>125</v>
      </c>
      <c r="L25">
        <v>773</v>
      </c>
      <c r="M25" t="s">
        <v>90</v>
      </c>
      <c r="N25" t="s">
        <v>393</v>
      </c>
      <c r="O25" s="2">
        <v>342</v>
      </c>
      <c r="P25" s="2" t="s">
        <v>76</v>
      </c>
      <c r="Q25" t="s">
        <v>426</v>
      </c>
      <c r="R25" s="2">
        <v>8</v>
      </c>
      <c r="S25" t="s">
        <v>76</v>
      </c>
      <c r="T25" s="2" t="s">
        <v>424</v>
      </c>
      <c r="U25" t="s">
        <v>128</v>
      </c>
      <c r="V25" t="s">
        <v>396</v>
      </c>
      <c r="W25" t="s">
        <v>298</v>
      </c>
      <c r="X25" t="s">
        <v>397</v>
      </c>
      <c r="Y25" t="s">
        <v>76</v>
      </c>
      <c r="Z25" t="s">
        <v>398</v>
      </c>
      <c r="AA25" t="s">
        <v>142</v>
      </c>
      <c r="AB25" t="s">
        <v>399</v>
      </c>
      <c r="AC25" t="s">
        <v>400</v>
      </c>
      <c r="AD25" t="s">
        <v>76</v>
      </c>
      <c r="AE25" t="s">
        <v>401</v>
      </c>
      <c r="AF25" t="s">
        <v>166</v>
      </c>
      <c r="AG25" t="s">
        <v>95</v>
      </c>
      <c r="AH25" s="1" t="s">
        <v>402</v>
      </c>
      <c r="AI25" s="15" t="s">
        <v>1152</v>
      </c>
      <c r="AJ25">
        <v>2018</v>
      </c>
      <c r="AK25" t="s">
        <v>79</v>
      </c>
      <c r="AL25" t="s">
        <v>178</v>
      </c>
      <c r="AM25">
        <v>61.8</v>
      </c>
      <c r="AN25">
        <v>37.1</v>
      </c>
      <c r="AO25">
        <v>84.5</v>
      </c>
      <c r="AP25">
        <v>37.1</v>
      </c>
      <c r="AQ25">
        <v>21.68</v>
      </c>
      <c r="AR25" s="58">
        <v>10.14</v>
      </c>
      <c r="AS25" s="48">
        <v>51.37</v>
      </c>
      <c r="AT25" s="48">
        <v>10.33</v>
      </c>
      <c r="AU25" s="48">
        <v>27.47</v>
      </c>
      <c r="AV25" s="49">
        <v>10.83</v>
      </c>
      <c r="AW25" s="53">
        <v>35</v>
      </c>
      <c r="AX25" s="48">
        <f t="shared" si="0"/>
        <v>2.259999999999998</v>
      </c>
      <c r="AY25" s="48">
        <v>37.26</v>
      </c>
      <c r="AZ25" s="48">
        <v>16.829999999999998</v>
      </c>
      <c r="BA25" s="48">
        <v>35.22</v>
      </c>
      <c r="BB25" s="49">
        <v>10.7</v>
      </c>
      <c r="BC25" s="36">
        <v>14.3</v>
      </c>
      <c r="BD25" t="s">
        <v>1218</v>
      </c>
      <c r="BE25" s="36">
        <v>13.8</v>
      </c>
      <c r="BF25" t="s">
        <v>243</v>
      </c>
      <c r="BG25" s="37" t="s">
        <v>187</v>
      </c>
      <c r="BH25" s="19" t="s">
        <v>137</v>
      </c>
      <c r="BI25" s="8">
        <v>5171.7</v>
      </c>
      <c r="BJ25" s="8" t="s">
        <v>82</v>
      </c>
      <c r="BK25" s="15">
        <v>4.62</v>
      </c>
      <c r="BL25" s="21">
        <v>78.05</v>
      </c>
      <c r="BM25" s="21">
        <v>2021</v>
      </c>
      <c r="BN25" s="21" t="s">
        <v>138</v>
      </c>
      <c r="BO25" s="21">
        <v>3.5</v>
      </c>
    </row>
    <row r="26" spans="1:67" x14ac:dyDescent="0.25">
      <c r="A26" s="71" t="s">
        <v>437</v>
      </c>
      <c r="B26" s="27" t="s">
        <v>196</v>
      </c>
      <c r="C26" s="2" t="s">
        <v>438</v>
      </c>
      <c r="D26">
        <v>2025</v>
      </c>
      <c r="E26" s="2" t="s">
        <v>439</v>
      </c>
      <c r="F26" t="s">
        <v>66</v>
      </c>
      <c r="G26" t="s">
        <v>251</v>
      </c>
      <c r="H26" t="s">
        <v>277</v>
      </c>
      <c r="I26" t="s">
        <v>123</v>
      </c>
      <c r="J26" t="s">
        <v>440</v>
      </c>
      <c r="K26" t="s">
        <v>125</v>
      </c>
      <c r="L26" s="2">
        <v>1318</v>
      </c>
      <c r="M26" t="s">
        <v>70</v>
      </c>
      <c r="N26" t="s">
        <v>307</v>
      </c>
      <c r="O26" s="2">
        <v>1233</v>
      </c>
      <c r="P26" t="s">
        <v>76</v>
      </c>
      <c r="Q26" s="2" t="s">
        <v>441</v>
      </c>
      <c r="R26" s="2">
        <v>17</v>
      </c>
      <c r="S26" t="s">
        <v>76</v>
      </c>
      <c r="T26" s="2" t="s">
        <v>442</v>
      </c>
      <c r="U26" t="s">
        <v>128</v>
      </c>
      <c r="V26" t="s">
        <v>107</v>
      </c>
      <c r="W26" t="s">
        <v>308</v>
      </c>
      <c r="X26" t="s">
        <v>76</v>
      </c>
      <c r="Y26" t="s">
        <v>76</v>
      </c>
      <c r="Z26" t="s">
        <v>443</v>
      </c>
      <c r="AA26" t="s">
        <v>205</v>
      </c>
      <c r="AB26" t="s">
        <v>444</v>
      </c>
      <c r="AC26" t="s">
        <v>445</v>
      </c>
      <c r="AD26" t="s">
        <v>76</v>
      </c>
      <c r="AE26" t="s">
        <v>446</v>
      </c>
      <c r="AF26" t="s">
        <v>153</v>
      </c>
      <c r="AG26" t="s">
        <v>95</v>
      </c>
      <c r="AH26" s="1" t="s">
        <v>447</v>
      </c>
      <c r="AI26" t="s">
        <v>448</v>
      </c>
      <c r="AJ26" t="s">
        <v>449</v>
      </c>
      <c r="AK26" t="s">
        <v>212</v>
      </c>
      <c r="AL26">
        <v>46.14</v>
      </c>
      <c r="AM26">
        <v>95.8</v>
      </c>
      <c r="AN26">
        <v>84.4</v>
      </c>
      <c r="AO26">
        <v>62.4</v>
      </c>
      <c r="AP26">
        <v>84.4</v>
      </c>
      <c r="AQ26">
        <v>32.409999999999997</v>
      </c>
      <c r="AR26" s="47">
        <v>46.14</v>
      </c>
      <c r="AS26" s="48">
        <v>96.69</v>
      </c>
      <c r="AT26" s="48">
        <v>0</v>
      </c>
      <c r="AU26" s="48">
        <v>0</v>
      </c>
      <c r="AV26" s="49">
        <v>3.31</v>
      </c>
      <c r="AW26" s="53">
        <v>43.5</v>
      </c>
      <c r="AX26" s="48">
        <f t="shared" si="0"/>
        <v>38.34545607791037</v>
      </c>
      <c r="AY26" s="62">
        <v>81.84545607791037</v>
      </c>
      <c r="AZ26" s="62">
        <v>2.8521588718446349</v>
      </c>
      <c r="BA26" s="62">
        <v>12.405854274997861</v>
      </c>
      <c r="BB26" s="63">
        <v>2.896530775247129</v>
      </c>
      <c r="BC26" s="42">
        <v>25.64</v>
      </c>
      <c r="BD26" t="s">
        <v>1158</v>
      </c>
      <c r="BE26" s="36">
        <v>6.8</v>
      </c>
      <c r="BF26" t="s">
        <v>450</v>
      </c>
      <c r="BG26" s="37" t="s">
        <v>247</v>
      </c>
      <c r="BH26" s="19" t="s">
        <v>137</v>
      </c>
      <c r="BI26" s="8">
        <v>11628.6</v>
      </c>
      <c r="BJ26" s="8" t="s">
        <v>82</v>
      </c>
      <c r="BL26" s="22"/>
      <c r="BM26" s="22"/>
      <c r="BN26" s="22" t="s">
        <v>260</v>
      </c>
      <c r="BO26" s="22"/>
    </row>
    <row r="27" spans="1:67" x14ac:dyDescent="0.25">
      <c r="A27" s="71" t="s">
        <v>451</v>
      </c>
      <c r="B27" s="27" t="s">
        <v>196</v>
      </c>
      <c r="C27" s="2" t="s">
        <v>452</v>
      </c>
      <c r="D27">
        <v>2019</v>
      </c>
      <c r="E27" t="s">
        <v>289</v>
      </c>
      <c r="F27" t="s">
        <v>66</v>
      </c>
      <c r="G27" t="s">
        <v>245</v>
      </c>
      <c r="H27" t="s">
        <v>453</v>
      </c>
      <c r="I27" t="s">
        <v>68</v>
      </c>
      <c r="J27" t="s">
        <v>177</v>
      </c>
      <c r="K27" t="s">
        <v>69</v>
      </c>
      <c r="L27" s="2">
        <v>534</v>
      </c>
      <c r="M27" t="s">
        <v>70</v>
      </c>
      <c r="N27" t="s">
        <v>71</v>
      </c>
      <c r="O27" s="2">
        <v>355</v>
      </c>
      <c r="P27" t="s">
        <v>76</v>
      </c>
      <c r="Q27" s="2" t="s">
        <v>454</v>
      </c>
      <c r="R27" t="s">
        <v>76</v>
      </c>
      <c r="S27" t="s">
        <v>76</v>
      </c>
      <c r="T27" t="s">
        <v>76</v>
      </c>
      <c r="U27" t="s">
        <v>128</v>
      </c>
      <c r="V27" t="s">
        <v>107</v>
      </c>
      <c r="W27" t="s">
        <v>246</v>
      </c>
      <c r="X27" t="s">
        <v>76</v>
      </c>
      <c r="Y27" t="s">
        <v>76</v>
      </c>
      <c r="Z27" t="s">
        <v>455</v>
      </c>
      <c r="AA27" t="s">
        <v>142</v>
      </c>
      <c r="AB27" t="s">
        <v>316</v>
      </c>
      <c r="AC27" t="s">
        <v>456</v>
      </c>
      <c r="AD27" t="s">
        <v>76</v>
      </c>
      <c r="AE27" t="s">
        <v>457</v>
      </c>
      <c r="AF27" t="s">
        <v>94</v>
      </c>
      <c r="AG27" t="s">
        <v>78</v>
      </c>
      <c r="AH27" s="1" t="s">
        <v>458</v>
      </c>
      <c r="AI27" s="15" t="s">
        <v>459</v>
      </c>
      <c r="AJ27" t="s">
        <v>169</v>
      </c>
      <c r="AK27" t="s">
        <v>79</v>
      </c>
      <c r="AL27" t="s">
        <v>178</v>
      </c>
      <c r="AM27">
        <v>99</v>
      </c>
      <c r="AN27">
        <v>84.1</v>
      </c>
      <c r="AO27">
        <v>86.2</v>
      </c>
      <c r="AP27">
        <v>84.1</v>
      </c>
      <c r="AQ27">
        <v>87.39</v>
      </c>
      <c r="AR27" s="58">
        <v>94.72</v>
      </c>
      <c r="AS27" s="48">
        <v>99.64</v>
      </c>
      <c r="AT27" s="48">
        <v>0.2</v>
      </c>
      <c r="AU27" s="48">
        <v>0.09</v>
      </c>
      <c r="AV27" s="49">
        <v>7.0000000000000007E-2</v>
      </c>
      <c r="AW27" s="47">
        <v>27.8</v>
      </c>
      <c r="AX27" s="48">
        <f t="shared" si="0"/>
        <v>69.02</v>
      </c>
      <c r="AY27" s="48">
        <v>96.82</v>
      </c>
      <c r="AZ27" s="48">
        <v>2.75</v>
      </c>
      <c r="BA27" s="48">
        <v>0.37</v>
      </c>
      <c r="BB27" s="49">
        <v>0.06</v>
      </c>
      <c r="BC27" s="36">
        <v>15.11</v>
      </c>
      <c r="BD27" t="s">
        <v>1165</v>
      </c>
      <c r="BE27" s="36">
        <v>5.7</v>
      </c>
      <c r="BF27" t="s">
        <v>170</v>
      </c>
      <c r="BG27" s="37" t="s">
        <v>247</v>
      </c>
      <c r="BH27" s="19" t="s">
        <v>137</v>
      </c>
      <c r="BI27" s="8">
        <v>20096.900000000001</v>
      </c>
      <c r="BJ27" s="8" t="s">
        <v>82</v>
      </c>
      <c r="BK27" s="15">
        <v>3.25</v>
      </c>
      <c r="BL27" s="21">
        <v>41.72</v>
      </c>
      <c r="BM27" s="21">
        <v>2017</v>
      </c>
      <c r="BN27" s="21" t="s">
        <v>138</v>
      </c>
      <c r="BO27" s="21">
        <v>0.5</v>
      </c>
    </row>
    <row r="28" spans="1:67" x14ac:dyDescent="0.25">
      <c r="A28" s="71" t="s">
        <v>460</v>
      </c>
      <c r="B28" s="27" t="s">
        <v>196</v>
      </c>
      <c r="C28" t="s">
        <v>461</v>
      </c>
      <c r="D28">
        <v>2020</v>
      </c>
      <c r="E28" t="s">
        <v>462</v>
      </c>
      <c r="F28" t="s">
        <v>66</v>
      </c>
      <c r="G28" t="s">
        <v>121</v>
      </c>
      <c r="H28" t="s">
        <v>463</v>
      </c>
      <c r="I28" t="s">
        <v>68</v>
      </c>
      <c r="J28" t="s">
        <v>464</v>
      </c>
      <c r="K28" t="s">
        <v>125</v>
      </c>
      <c r="L28" s="2">
        <v>1542</v>
      </c>
      <c r="M28" t="s">
        <v>90</v>
      </c>
      <c r="N28" t="s">
        <v>189</v>
      </c>
      <c r="O28" s="2">
        <v>104</v>
      </c>
      <c r="P28" s="2">
        <v>101</v>
      </c>
      <c r="Q28" s="2" t="s">
        <v>465</v>
      </c>
      <c r="R28" t="s">
        <v>83</v>
      </c>
      <c r="S28" t="s">
        <v>83</v>
      </c>
      <c r="T28" t="s">
        <v>466</v>
      </c>
      <c r="U28" t="s">
        <v>128</v>
      </c>
      <c r="V28" t="s">
        <v>75</v>
      </c>
      <c r="W28" t="s">
        <v>112</v>
      </c>
      <c r="X28" t="s">
        <v>76</v>
      </c>
      <c r="Y28" t="s">
        <v>76</v>
      </c>
      <c r="Z28" t="s">
        <v>467</v>
      </c>
      <c r="AA28" t="s">
        <v>77</v>
      </c>
      <c r="AB28" t="s">
        <v>76</v>
      </c>
      <c r="AC28" t="s">
        <v>76</v>
      </c>
      <c r="AD28" t="s">
        <v>76</v>
      </c>
      <c r="AE28" t="s">
        <v>468</v>
      </c>
      <c r="AF28" t="s">
        <v>76</v>
      </c>
      <c r="AG28" t="s">
        <v>95</v>
      </c>
      <c r="AH28" t="s">
        <v>469</v>
      </c>
      <c r="AI28" t="s">
        <v>470</v>
      </c>
      <c r="AJ28">
        <v>2016</v>
      </c>
      <c r="AK28" t="s">
        <v>79</v>
      </c>
      <c r="AL28">
        <v>99.97</v>
      </c>
      <c r="AM28">
        <v>100</v>
      </c>
      <c r="AN28">
        <v>100</v>
      </c>
      <c r="AO28">
        <v>100</v>
      </c>
      <c r="AP28">
        <v>100</v>
      </c>
      <c r="AQ28">
        <v>100</v>
      </c>
      <c r="AR28" s="47">
        <v>99.97</v>
      </c>
      <c r="AS28" s="48">
        <v>100</v>
      </c>
      <c r="AT28" s="48">
        <v>0</v>
      </c>
      <c r="AU28" s="48">
        <v>0</v>
      </c>
      <c r="AV28" s="49">
        <v>0</v>
      </c>
      <c r="AW28" s="47">
        <v>97.5</v>
      </c>
      <c r="AX28" s="48">
        <f t="shared" si="0"/>
        <v>0</v>
      </c>
      <c r="AY28" s="48">
        <v>97.5</v>
      </c>
      <c r="AZ28" s="48">
        <v>2.5</v>
      </c>
      <c r="BA28" s="48">
        <v>0</v>
      </c>
      <c r="BB28" s="49">
        <v>0</v>
      </c>
      <c r="BC28" s="36">
        <v>9.43</v>
      </c>
      <c r="BD28" t="s">
        <v>1166</v>
      </c>
      <c r="BE28" s="36">
        <v>5.5</v>
      </c>
      <c r="BF28" t="s">
        <v>170</v>
      </c>
      <c r="BG28" s="37" t="s">
        <v>88</v>
      </c>
      <c r="BH28" s="19" t="s">
        <v>137</v>
      </c>
      <c r="BI28" s="8">
        <v>62045.8</v>
      </c>
      <c r="BJ28" s="8" t="s">
        <v>82</v>
      </c>
      <c r="BL28" s="21">
        <v>6.16</v>
      </c>
      <c r="BM28" s="21">
        <v>2017</v>
      </c>
      <c r="BN28" s="21" t="s">
        <v>138</v>
      </c>
      <c r="BO28" s="21">
        <v>3</v>
      </c>
    </row>
    <row r="29" spans="1:67" x14ac:dyDescent="0.25">
      <c r="A29" s="71" t="s">
        <v>474</v>
      </c>
      <c r="B29" s="27" t="s">
        <v>196</v>
      </c>
      <c r="C29" s="2" t="s">
        <v>475</v>
      </c>
      <c r="D29">
        <v>2022</v>
      </c>
      <c r="E29" t="s">
        <v>141</v>
      </c>
      <c r="F29" t="s">
        <v>66</v>
      </c>
      <c r="G29" t="s">
        <v>348</v>
      </c>
      <c r="H29" t="s">
        <v>476</v>
      </c>
      <c r="I29" t="s">
        <v>68</v>
      </c>
      <c r="J29" t="s">
        <v>477</v>
      </c>
      <c r="K29" t="s">
        <v>472</v>
      </c>
      <c r="L29" s="2">
        <v>921</v>
      </c>
      <c r="M29" t="s">
        <v>70</v>
      </c>
      <c r="N29" t="s">
        <v>193</v>
      </c>
      <c r="O29" s="2">
        <v>491</v>
      </c>
      <c r="P29" s="2">
        <v>484</v>
      </c>
      <c r="Q29" s="2" t="s">
        <v>478</v>
      </c>
      <c r="R29" t="s">
        <v>76</v>
      </c>
      <c r="S29" t="s">
        <v>76</v>
      </c>
      <c r="T29" t="s">
        <v>76</v>
      </c>
      <c r="U29" t="s">
        <v>128</v>
      </c>
      <c r="V29" t="s">
        <v>75</v>
      </c>
      <c r="W29" t="s">
        <v>246</v>
      </c>
      <c r="X29" t="s">
        <v>473</v>
      </c>
      <c r="Y29" t="s">
        <v>76</v>
      </c>
      <c r="Z29" t="s">
        <v>479</v>
      </c>
      <c r="AA29" t="s">
        <v>77</v>
      </c>
      <c r="AB29" t="s">
        <v>76</v>
      </c>
      <c r="AC29" t="s">
        <v>76</v>
      </c>
      <c r="AD29" t="s">
        <v>76</v>
      </c>
      <c r="AE29" t="s">
        <v>480</v>
      </c>
      <c r="AF29" t="s">
        <v>166</v>
      </c>
      <c r="AG29" t="s">
        <v>95</v>
      </c>
      <c r="AH29" s="1" t="s">
        <v>481</v>
      </c>
      <c r="AI29" t="s">
        <v>482</v>
      </c>
      <c r="AJ29" t="s">
        <v>346</v>
      </c>
      <c r="AK29" t="s">
        <v>79</v>
      </c>
      <c r="AL29">
        <v>95.24</v>
      </c>
      <c r="AM29">
        <v>96.9</v>
      </c>
      <c r="AN29">
        <v>98.3</v>
      </c>
      <c r="AO29">
        <v>86.2</v>
      </c>
      <c r="AP29">
        <v>98.3</v>
      </c>
      <c r="AQ29">
        <v>97.7</v>
      </c>
      <c r="AR29" s="47">
        <v>95.24</v>
      </c>
      <c r="AS29" s="48">
        <v>97.45</v>
      </c>
      <c r="AT29" s="48">
        <v>0.34</v>
      </c>
      <c r="AU29" s="48">
        <v>0.18</v>
      </c>
      <c r="AV29" s="49">
        <v>2.0299999999999998</v>
      </c>
      <c r="AW29" s="47">
        <v>83.8</v>
      </c>
      <c r="AX29" s="48">
        <f t="shared" si="0"/>
        <v>11.939999999999998</v>
      </c>
      <c r="AY29" s="48">
        <v>95.74</v>
      </c>
      <c r="AZ29" s="48">
        <v>2.33</v>
      </c>
      <c r="BA29" s="48">
        <v>1.76</v>
      </c>
      <c r="BB29" s="49">
        <v>0.16</v>
      </c>
      <c r="BC29" s="36">
        <v>6.88</v>
      </c>
      <c r="BD29" t="s">
        <v>1159</v>
      </c>
      <c r="BE29" s="36">
        <v>5.8</v>
      </c>
      <c r="BF29" t="s">
        <v>143</v>
      </c>
      <c r="BG29" s="37" t="s">
        <v>174</v>
      </c>
      <c r="BH29" s="19" t="s">
        <v>137</v>
      </c>
      <c r="BI29" s="8">
        <v>19215.099999999999</v>
      </c>
      <c r="BJ29" s="8" t="s">
        <v>82</v>
      </c>
      <c r="BL29" s="23">
        <v>51.6</v>
      </c>
      <c r="BM29" s="23">
        <v>2020</v>
      </c>
      <c r="BN29" s="23" t="s">
        <v>347</v>
      </c>
      <c r="BO29" s="23">
        <v>0.5</v>
      </c>
    </row>
    <row r="30" spans="1:67" x14ac:dyDescent="0.25">
      <c r="A30" s="71">
        <v>85</v>
      </c>
      <c r="B30" s="27" t="s">
        <v>196</v>
      </c>
      <c r="C30" s="2" t="s">
        <v>483</v>
      </c>
      <c r="D30" s="2">
        <v>2018</v>
      </c>
      <c r="E30" s="2">
        <v>2018</v>
      </c>
      <c r="F30" t="s">
        <v>66</v>
      </c>
      <c r="G30" t="s">
        <v>245</v>
      </c>
      <c r="H30" t="s">
        <v>277</v>
      </c>
      <c r="I30" t="s">
        <v>123</v>
      </c>
      <c r="J30" t="s">
        <v>484</v>
      </c>
      <c r="K30" t="s">
        <v>188</v>
      </c>
      <c r="L30" s="2">
        <v>455</v>
      </c>
      <c r="M30" t="s">
        <v>70</v>
      </c>
      <c r="N30" t="s">
        <v>193</v>
      </c>
      <c r="O30" s="2">
        <v>336</v>
      </c>
      <c r="P30" s="2">
        <v>337</v>
      </c>
      <c r="Q30" s="2" t="s">
        <v>485</v>
      </c>
      <c r="R30" t="s">
        <v>76</v>
      </c>
      <c r="S30" t="s">
        <v>76</v>
      </c>
      <c r="T30" t="s">
        <v>76</v>
      </c>
      <c r="U30" t="s">
        <v>128</v>
      </c>
      <c r="V30" t="s">
        <v>75</v>
      </c>
      <c r="W30" t="s">
        <v>486</v>
      </c>
      <c r="X30" t="s">
        <v>280</v>
      </c>
      <c r="Y30" t="s">
        <v>76</v>
      </c>
      <c r="Z30" t="s">
        <v>487</v>
      </c>
      <c r="AA30" t="s">
        <v>142</v>
      </c>
      <c r="AB30" t="s">
        <v>316</v>
      </c>
      <c r="AC30" t="s">
        <v>76</v>
      </c>
      <c r="AD30" t="s">
        <v>76</v>
      </c>
      <c r="AE30" t="s">
        <v>488</v>
      </c>
      <c r="AF30" t="s">
        <v>153</v>
      </c>
      <c r="AG30" t="s">
        <v>330</v>
      </c>
      <c r="AH30" s="1" t="s">
        <v>489</v>
      </c>
      <c r="AI30" s="15" t="s">
        <v>490</v>
      </c>
      <c r="AJ30" t="s">
        <v>346</v>
      </c>
      <c r="AK30" t="s">
        <v>212</v>
      </c>
      <c r="AL30" t="s">
        <v>178</v>
      </c>
      <c r="AM30">
        <v>99.2</v>
      </c>
      <c r="AN30">
        <v>87.2</v>
      </c>
      <c r="AO30">
        <v>62.4</v>
      </c>
      <c r="AP30">
        <v>87.2</v>
      </c>
      <c r="AQ30">
        <v>77.67</v>
      </c>
      <c r="AR30" s="58">
        <v>88.55</v>
      </c>
      <c r="AS30" s="48">
        <v>99.17</v>
      </c>
      <c r="AT30" s="48">
        <v>0.26</v>
      </c>
      <c r="AU30" s="48">
        <v>0.56999999999999995</v>
      </c>
      <c r="AV30" s="49">
        <v>0</v>
      </c>
      <c r="AW30" s="53">
        <v>20.87942</v>
      </c>
      <c r="AX30" s="48">
        <f t="shared" si="0"/>
        <v>76.649200502387558</v>
      </c>
      <c r="AY30" s="62">
        <v>97.528620502387554</v>
      </c>
      <c r="AZ30" s="62">
        <v>1.822547970891377</v>
      </c>
      <c r="BA30" s="62">
        <v>0.50323041317997763</v>
      </c>
      <c r="BB30" s="63">
        <v>0.1456011135410904</v>
      </c>
      <c r="BC30" s="36">
        <v>23</v>
      </c>
      <c r="BD30" t="s">
        <v>1167</v>
      </c>
      <c r="BE30" s="36">
        <v>5.3</v>
      </c>
      <c r="BF30" t="s">
        <v>143</v>
      </c>
      <c r="BG30" s="37" t="s">
        <v>247</v>
      </c>
      <c r="BH30" s="19" t="s">
        <v>137</v>
      </c>
      <c r="BI30" s="8">
        <v>20882.2</v>
      </c>
      <c r="BJ30" s="8" t="s">
        <v>82</v>
      </c>
      <c r="BK30" s="15">
        <v>5.62</v>
      </c>
      <c r="BL30" s="21">
        <v>36.42</v>
      </c>
      <c r="BM30" s="21">
        <v>2018</v>
      </c>
      <c r="BN30" s="21" t="s">
        <v>138</v>
      </c>
      <c r="BO30" s="21">
        <v>0</v>
      </c>
    </row>
    <row r="31" spans="1:67" ht="30" customHeight="1" x14ac:dyDescent="0.25">
      <c r="A31" s="71" t="s">
        <v>491</v>
      </c>
      <c r="B31" s="27" t="s">
        <v>196</v>
      </c>
      <c r="C31" s="2" t="s">
        <v>492</v>
      </c>
      <c r="D31">
        <v>2022</v>
      </c>
      <c r="E31" t="s">
        <v>141</v>
      </c>
      <c r="F31" t="s">
        <v>66</v>
      </c>
      <c r="G31" t="s">
        <v>493</v>
      </c>
      <c r="H31" t="s">
        <v>494</v>
      </c>
      <c r="I31" t="s">
        <v>123</v>
      </c>
      <c r="J31" t="s">
        <v>495</v>
      </c>
      <c r="K31" t="s">
        <v>125</v>
      </c>
      <c r="L31">
        <v>430</v>
      </c>
      <c r="M31" s="2" t="s">
        <v>496</v>
      </c>
      <c r="N31" t="s">
        <v>71</v>
      </c>
      <c r="O31" s="2">
        <v>89</v>
      </c>
      <c r="P31" s="2">
        <v>89</v>
      </c>
      <c r="Q31" s="2" t="s">
        <v>497</v>
      </c>
      <c r="R31" t="s">
        <v>73</v>
      </c>
      <c r="S31" t="s">
        <v>76</v>
      </c>
      <c r="T31" t="s">
        <v>76</v>
      </c>
      <c r="U31" t="s">
        <v>128</v>
      </c>
      <c r="V31" t="s">
        <v>107</v>
      </c>
      <c r="W31" t="s">
        <v>92</v>
      </c>
      <c r="X31" t="s">
        <v>280</v>
      </c>
      <c r="Y31" t="s">
        <v>76</v>
      </c>
      <c r="Z31" t="s">
        <v>498</v>
      </c>
      <c r="AA31" t="s">
        <v>142</v>
      </c>
      <c r="AB31" t="s">
        <v>499</v>
      </c>
      <c r="AC31" t="s">
        <v>76</v>
      </c>
      <c r="AD31" t="s">
        <v>76</v>
      </c>
      <c r="AE31" t="s">
        <v>500</v>
      </c>
      <c r="AF31" t="s">
        <v>186</v>
      </c>
      <c r="AG31" t="s">
        <v>78</v>
      </c>
      <c r="AH31" s="7" t="s">
        <v>501</v>
      </c>
      <c r="AI31" t="s">
        <v>502</v>
      </c>
      <c r="AJ31">
        <v>2020</v>
      </c>
      <c r="AK31" t="s">
        <v>212</v>
      </c>
      <c r="AL31">
        <v>38.92</v>
      </c>
      <c r="AM31">
        <v>7.8</v>
      </c>
      <c r="AN31">
        <v>17.3</v>
      </c>
      <c r="AO31">
        <v>53.4</v>
      </c>
      <c r="AP31">
        <v>17.3</v>
      </c>
      <c r="AQ31">
        <v>12.08</v>
      </c>
      <c r="AR31" s="47">
        <v>7.8</v>
      </c>
      <c r="AS31" s="48">
        <v>48.95</v>
      </c>
      <c r="AT31" s="48">
        <v>30.04</v>
      </c>
      <c r="AU31" s="48">
        <v>6.74</v>
      </c>
      <c r="AV31" s="49">
        <v>14.27</v>
      </c>
      <c r="AW31" s="47">
        <v>17.5</v>
      </c>
      <c r="AX31" s="48">
        <f t="shared" si="0"/>
        <v>1.8000000000000007</v>
      </c>
      <c r="AY31" s="48">
        <v>19.3</v>
      </c>
      <c r="AZ31" s="48">
        <v>10.62</v>
      </c>
      <c r="BA31" s="48">
        <v>63.92</v>
      </c>
      <c r="BB31" s="49">
        <v>6.17</v>
      </c>
      <c r="BC31" s="36">
        <v>21.27</v>
      </c>
      <c r="BD31" t="s">
        <v>1193</v>
      </c>
      <c r="BE31" s="36">
        <v>17.3</v>
      </c>
      <c r="BF31" t="s">
        <v>143</v>
      </c>
      <c r="BG31" s="37" t="s">
        <v>187</v>
      </c>
      <c r="BH31" s="19" t="s">
        <v>137</v>
      </c>
      <c r="BI31" s="8">
        <v>2678</v>
      </c>
      <c r="BJ31" s="8" t="s">
        <v>82</v>
      </c>
      <c r="BL31" s="21">
        <v>88.24</v>
      </c>
      <c r="BM31" s="21">
        <v>2020</v>
      </c>
      <c r="BN31" s="21" t="s">
        <v>138</v>
      </c>
      <c r="BO31" s="21">
        <v>0.5</v>
      </c>
    </row>
    <row r="32" spans="1:67" x14ac:dyDescent="0.25">
      <c r="A32" s="71" t="s">
        <v>436</v>
      </c>
      <c r="B32" s="27" t="s">
        <v>196</v>
      </c>
      <c r="C32" t="s">
        <v>503</v>
      </c>
      <c r="D32">
        <v>2022</v>
      </c>
      <c r="E32" t="s">
        <v>141</v>
      </c>
      <c r="F32" t="s">
        <v>66</v>
      </c>
      <c r="G32" t="s">
        <v>434</v>
      </c>
      <c r="H32" t="s">
        <v>140</v>
      </c>
      <c r="I32" t="s">
        <v>68</v>
      </c>
      <c r="J32" t="s">
        <v>504</v>
      </c>
      <c r="K32" t="s">
        <v>125</v>
      </c>
      <c r="L32">
        <v>190</v>
      </c>
      <c r="M32" t="s">
        <v>70</v>
      </c>
      <c r="N32" t="s">
        <v>71</v>
      </c>
      <c r="O32" t="s">
        <v>384</v>
      </c>
      <c r="P32" t="s">
        <v>384</v>
      </c>
      <c r="Q32" t="s">
        <v>505</v>
      </c>
      <c r="R32" t="s">
        <v>73</v>
      </c>
      <c r="S32" t="s">
        <v>76</v>
      </c>
      <c r="T32" t="s">
        <v>76</v>
      </c>
      <c r="V32" t="s">
        <v>75</v>
      </c>
      <c r="W32" t="s">
        <v>506</v>
      </c>
      <c r="X32" t="s">
        <v>76</v>
      </c>
      <c r="Y32" t="s">
        <v>76</v>
      </c>
      <c r="Z32" t="s">
        <v>76</v>
      </c>
      <c r="AA32" t="s">
        <v>77</v>
      </c>
      <c r="AB32" t="s">
        <v>76</v>
      </c>
      <c r="AC32" t="s">
        <v>76</v>
      </c>
      <c r="AD32" t="s">
        <v>76</v>
      </c>
      <c r="AE32" t="s">
        <v>435</v>
      </c>
      <c r="AF32" t="s">
        <v>94</v>
      </c>
      <c r="AG32" t="s">
        <v>78</v>
      </c>
      <c r="AH32" t="s">
        <v>507</v>
      </c>
      <c r="AI32" t="s">
        <v>508</v>
      </c>
      <c r="AJ32">
        <v>2020</v>
      </c>
      <c r="AK32" t="s">
        <v>79</v>
      </c>
      <c r="AL32">
        <v>97.79</v>
      </c>
      <c r="AM32">
        <v>96.1</v>
      </c>
      <c r="AN32">
        <v>100</v>
      </c>
      <c r="AO32">
        <v>100</v>
      </c>
      <c r="AP32">
        <v>100</v>
      </c>
      <c r="AQ32">
        <v>99.52</v>
      </c>
      <c r="AR32" s="47">
        <v>96.12</v>
      </c>
      <c r="AS32" s="48">
        <v>98.62</v>
      </c>
      <c r="AT32" s="48">
        <v>1.19</v>
      </c>
      <c r="AU32" s="48">
        <v>0.01</v>
      </c>
      <c r="AV32" s="49">
        <v>0.19</v>
      </c>
      <c r="AW32" s="47">
        <v>77.5</v>
      </c>
      <c r="AX32" s="48">
        <f t="shared" si="0"/>
        <v>15.299999999999997</v>
      </c>
      <c r="AY32" s="48">
        <v>92.8</v>
      </c>
      <c r="AZ32" s="48">
        <v>7.2</v>
      </c>
      <c r="BA32" s="48">
        <v>0</v>
      </c>
      <c r="BB32" s="49">
        <v>0</v>
      </c>
      <c r="BC32" s="36">
        <v>51.65</v>
      </c>
      <c r="BD32" t="s">
        <v>1194</v>
      </c>
      <c r="BE32" s="36">
        <v>6.9</v>
      </c>
      <c r="BF32" t="s">
        <v>143</v>
      </c>
      <c r="BG32" s="37" t="s">
        <v>374</v>
      </c>
      <c r="BH32" s="19" t="s">
        <v>137</v>
      </c>
      <c r="BI32" s="8">
        <v>15381.6</v>
      </c>
      <c r="BJ32" s="8" t="s">
        <v>82</v>
      </c>
      <c r="BL32" s="21">
        <v>69.23</v>
      </c>
      <c r="BM32" s="21">
        <v>2020</v>
      </c>
      <c r="BN32" s="21" t="s">
        <v>138</v>
      </c>
      <c r="BO32" s="21">
        <v>0.5</v>
      </c>
    </row>
    <row r="33" spans="1:67" x14ac:dyDescent="0.25">
      <c r="A33" s="71" t="s">
        <v>329</v>
      </c>
      <c r="B33" s="27" t="s">
        <v>196</v>
      </c>
      <c r="C33" t="s">
        <v>511</v>
      </c>
      <c r="D33">
        <v>2022</v>
      </c>
      <c r="E33" t="s">
        <v>167</v>
      </c>
      <c r="F33" t="s">
        <v>66</v>
      </c>
      <c r="G33" t="s">
        <v>163</v>
      </c>
      <c r="H33" t="s">
        <v>512</v>
      </c>
      <c r="I33" t="s">
        <v>68</v>
      </c>
      <c r="J33" t="s">
        <v>513</v>
      </c>
      <c r="K33" t="s">
        <v>125</v>
      </c>
      <c r="L33">
        <v>4999</v>
      </c>
      <c r="M33" t="s">
        <v>70</v>
      </c>
      <c r="N33" t="s">
        <v>509</v>
      </c>
      <c r="O33" s="2">
        <v>188</v>
      </c>
      <c r="P33" t="s">
        <v>514</v>
      </c>
      <c r="Q33" t="s">
        <v>515</v>
      </c>
      <c r="R33" t="s">
        <v>73</v>
      </c>
      <c r="S33" t="s">
        <v>76</v>
      </c>
      <c r="T33" t="s">
        <v>76</v>
      </c>
      <c r="U33" t="s">
        <v>128</v>
      </c>
      <c r="V33" t="s">
        <v>75</v>
      </c>
      <c r="W33" t="s">
        <v>112</v>
      </c>
      <c r="X33" t="s">
        <v>76</v>
      </c>
      <c r="Y33" t="s">
        <v>76</v>
      </c>
      <c r="Z33" t="s">
        <v>516</v>
      </c>
      <c r="AA33" t="s">
        <v>77</v>
      </c>
      <c r="AB33" t="s">
        <v>76</v>
      </c>
      <c r="AC33" t="s">
        <v>76</v>
      </c>
      <c r="AD33" t="s">
        <v>76</v>
      </c>
      <c r="AE33" t="s">
        <v>517</v>
      </c>
      <c r="AF33" t="s">
        <v>166</v>
      </c>
      <c r="AG33" t="s">
        <v>510</v>
      </c>
      <c r="AH33" s="1" t="s">
        <v>518</v>
      </c>
      <c r="AI33" t="s">
        <v>519</v>
      </c>
      <c r="AJ33">
        <v>2016</v>
      </c>
      <c r="AK33" t="s">
        <v>79</v>
      </c>
      <c r="AL33">
        <v>99.29</v>
      </c>
      <c r="AM33">
        <v>100</v>
      </c>
      <c r="AN33">
        <v>100</v>
      </c>
      <c r="AO33">
        <v>100</v>
      </c>
      <c r="AP33">
        <v>100</v>
      </c>
      <c r="AQ33">
        <v>100</v>
      </c>
      <c r="AR33" s="47">
        <v>99.29</v>
      </c>
      <c r="AS33" s="48">
        <v>100</v>
      </c>
      <c r="AT33" s="48">
        <v>0</v>
      </c>
      <c r="AU33" s="48">
        <v>0</v>
      </c>
      <c r="AV33" s="49">
        <v>0</v>
      </c>
      <c r="AW33" s="47">
        <v>77.47</v>
      </c>
      <c r="AX33" s="48">
        <f t="shared" si="0"/>
        <v>20.58</v>
      </c>
      <c r="AY33" s="48">
        <v>98.05</v>
      </c>
      <c r="AZ33" s="48">
        <v>1.94</v>
      </c>
      <c r="BA33" s="48">
        <v>0</v>
      </c>
      <c r="BB33" s="49">
        <v>0</v>
      </c>
      <c r="BC33" s="36">
        <v>14.3</v>
      </c>
      <c r="BD33" t="s">
        <v>1168</v>
      </c>
      <c r="BE33" s="36">
        <v>6</v>
      </c>
      <c r="BF33" t="s">
        <v>170</v>
      </c>
      <c r="BG33" s="37" t="s">
        <v>114</v>
      </c>
      <c r="BH33" s="19" t="s">
        <v>137</v>
      </c>
      <c r="BI33" s="8">
        <v>88041.600000000006</v>
      </c>
      <c r="BJ33" s="8" t="s">
        <v>82</v>
      </c>
      <c r="BL33" s="21">
        <v>5.58</v>
      </c>
      <c r="BM33" s="21">
        <v>2016</v>
      </c>
      <c r="BN33" s="21" t="s">
        <v>138</v>
      </c>
      <c r="BO33" s="21">
        <v>0.5</v>
      </c>
    </row>
    <row r="34" spans="1:67" x14ac:dyDescent="0.25">
      <c r="A34" s="71">
        <v>111</v>
      </c>
      <c r="B34" s="27" t="s">
        <v>196</v>
      </c>
      <c r="C34" t="s">
        <v>520</v>
      </c>
      <c r="D34">
        <v>2026</v>
      </c>
      <c r="E34" t="s">
        <v>521</v>
      </c>
      <c r="F34" t="s">
        <v>522</v>
      </c>
      <c r="G34" t="s">
        <v>180</v>
      </c>
      <c r="H34" t="s">
        <v>523</v>
      </c>
      <c r="I34" t="s">
        <v>123</v>
      </c>
      <c r="J34" t="s">
        <v>524</v>
      </c>
      <c r="K34" t="s">
        <v>525</v>
      </c>
      <c r="L34">
        <v>1482</v>
      </c>
      <c r="M34" t="s">
        <v>70</v>
      </c>
      <c r="N34" t="s">
        <v>526</v>
      </c>
      <c r="O34">
        <v>908</v>
      </c>
      <c r="P34">
        <v>786</v>
      </c>
      <c r="Q34" t="s">
        <v>527</v>
      </c>
      <c r="R34">
        <v>1</v>
      </c>
      <c r="S34">
        <v>1</v>
      </c>
      <c r="T34" t="s">
        <v>528</v>
      </c>
      <c r="U34" t="s">
        <v>128</v>
      </c>
      <c r="V34" t="s">
        <v>107</v>
      </c>
      <c r="W34" t="s">
        <v>529</v>
      </c>
      <c r="X34" t="s">
        <v>530</v>
      </c>
      <c r="Y34" t="s">
        <v>531</v>
      </c>
      <c r="Z34" t="s">
        <v>532</v>
      </c>
      <c r="AA34" t="s">
        <v>205</v>
      </c>
      <c r="AB34" t="s">
        <v>533</v>
      </c>
      <c r="AC34" t="s">
        <v>534</v>
      </c>
      <c r="AD34" t="s">
        <v>535</v>
      </c>
      <c r="AE34" t="s">
        <v>536</v>
      </c>
      <c r="AF34" t="s">
        <v>537</v>
      </c>
      <c r="AG34" t="s">
        <v>538</v>
      </c>
      <c r="AH34" t="s">
        <v>539</v>
      </c>
      <c r="AI34" s="15" t="s">
        <v>540</v>
      </c>
      <c r="AJ34">
        <v>2022</v>
      </c>
      <c r="AK34" t="s">
        <v>212</v>
      </c>
      <c r="AL34" t="s">
        <v>178</v>
      </c>
      <c r="AM34">
        <v>3.2</v>
      </c>
      <c r="AN34">
        <v>20</v>
      </c>
      <c r="AO34">
        <v>85.6</v>
      </c>
      <c r="AP34">
        <v>20</v>
      </c>
      <c r="AQ34">
        <v>11.43</v>
      </c>
      <c r="AR34" s="58">
        <v>3.81</v>
      </c>
      <c r="AS34" s="48">
        <v>35.06</v>
      </c>
      <c r="AT34" s="48">
        <v>38.9</v>
      </c>
      <c r="AU34" s="48">
        <v>0.16</v>
      </c>
      <c r="AV34" s="49">
        <v>25.88</v>
      </c>
      <c r="AW34" s="47">
        <v>19.5</v>
      </c>
      <c r="AX34" s="48">
        <f t="shared" si="0"/>
        <v>1.8900000000000006</v>
      </c>
      <c r="AY34" s="48">
        <v>21.39</v>
      </c>
      <c r="AZ34" s="48">
        <v>23.03</v>
      </c>
      <c r="BA34" s="48">
        <v>9.3000000000000007</v>
      </c>
      <c r="BB34" s="49">
        <v>46.28</v>
      </c>
      <c r="BC34" s="36">
        <v>6.79</v>
      </c>
      <c r="BD34" t="s">
        <v>1177</v>
      </c>
      <c r="BE34" s="36">
        <v>17.2</v>
      </c>
      <c r="BF34" t="s">
        <v>194</v>
      </c>
      <c r="BG34" s="37" t="s">
        <v>182</v>
      </c>
      <c r="BH34" s="19" t="s">
        <v>137</v>
      </c>
      <c r="BI34" s="8">
        <v>2469.1999999999998</v>
      </c>
      <c r="BJ34" s="8" t="s">
        <v>82</v>
      </c>
      <c r="BK34" s="15">
        <v>2.68</v>
      </c>
      <c r="BL34" s="21">
        <v>91.67</v>
      </c>
      <c r="BM34" s="21">
        <v>2022</v>
      </c>
      <c r="BN34" s="21" t="s">
        <v>138</v>
      </c>
      <c r="BO34" s="21">
        <v>0.5</v>
      </c>
    </row>
    <row r="35" spans="1:67" x14ac:dyDescent="0.25">
      <c r="A35" s="71" t="s">
        <v>541</v>
      </c>
      <c r="B35" s="27" t="s">
        <v>691</v>
      </c>
      <c r="C35" t="s">
        <v>542</v>
      </c>
      <c r="D35">
        <v>2016</v>
      </c>
      <c r="E35" t="s">
        <v>100</v>
      </c>
      <c r="F35" t="s">
        <v>66</v>
      </c>
      <c r="G35" t="s">
        <v>184</v>
      </c>
      <c r="H35" t="s">
        <v>140</v>
      </c>
      <c r="I35" t="s">
        <v>68</v>
      </c>
      <c r="J35" t="s">
        <v>543</v>
      </c>
      <c r="K35" t="s">
        <v>544</v>
      </c>
      <c r="L35">
        <v>250</v>
      </c>
      <c r="M35" t="s">
        <v>70</v>
      </c>
      <c r="N35" t="s">
        <v>71</v>
      </c>
      <c r="O35">
        <v>29</v>
      </c>
      <c r="P35" t="s">
        <v>76</v>
      </c>
      <c r="Q35">
        <v>11.6</v>
      </c>
      <c r="R35">
        <v>0</v>
      </c>
      <c r="S35" t="s">
        <v>76</v>
      </c>
      <c r="T35">
        <v>0</v>
      </c>
      <c r="V35" t="s">
        <v>75</v>
      </c>
      <c r="W35" t="s">
        <v>92</v>
      </c>
      <c r="X35" t="s">
        <v>545</v>
      </c>
      <c r="Y35" t="s">
        <v>76</v>
      </c>
      <c r="Z35" t="s">
        <v>546</v>
      </c>
      <c r="AA35" t="s">
        <v>76</v>
      </c>
      <c r="AB35" t="s">
        <v>76</v>
      </c>
      <c r="AC35" t="s">
        <v>76</v>
      </c>
      <c r="AD35" t="s">
        <v>76</v>
      </c>
      <c r="AE35" t="s">
        <v>547</v>
      </c>
      <c r="AF35" t="s">
        <v>76</v>
      </c>
      <c r="AG35" t="s">
        <v>548</v>
      </c>
      <c r="AH35" t="s">
        <v>549</v>
      </c>
      <c r="AI35" t="s">
        <v>550</v>
      </c>
      <c r="AJ35">
        <v>2010</v>
      </c>
      <c r="AK35" t="s">
        <v>79</v>
      </c>
      <c r="AL35">
        <v>39.67</v>
      </c>
      <c r="AM35">
        <v>27.4</v>
      </c>
      <c r="AN35">
        <v>21.8</v>
      </c>
      <c r="AO35">
        <v>83.6</v>
      </c>
      <c r="AP35">
        <v>21.8</v>
      </c>
      <c r="AQ35">
        <v>66.72</v>
      </c>
      <c r="AR35" s="47">
        <v>30.76</v>
      </c>
      <c r="AS35" s="48">
        <v>76.459999999999994</v>
      </c>
      <c r="AT35" s="48">
        <v>8.93</v>
      </c>
      <c r="AU35" s="48">
        <v>2.41</v>
      </c>
      <c r="AV35" s="49">
        <v>12.21</v>
      </c>
      <c r="AW35" s="53">
        <v>25.5</v>
      </c>
      <c r="AX35" s="48">
        <f t="shared" si="0"/>
        <v>6.4200000000000017</v>
      </c>
      <c r="AY35" s="48">
        <v>31.92</v>
      </c>
      <c r="AZ35" s="48">
        <v>28.16</v>
      </c>
      <c r="BA35" s="48">
        <v>38.25</v>
      </c>
      <c r="BB35" s="49">
        <v>1.66</v>
      </c>
      <c r="BC35" s="42">
        <v>16.899999999999999</v>
      </c>
      <c r="BD35" t="s">
        <v>1211</v>
      </c>
      <c r="BG35" s="37" t="s">
        <v>187</v>
      </c>
      <c r="BH35" s="19" t="s">
        <v>137</v>
      </c>
      <c r="BI35" s="8">
        <v>2779.7</v>
      </c>
      <c r="BJ35" s="8" t="s">
        <v>82</v>
      </c>
      <c r="BL35" s="21">
        <v>75</v>
      </c>
      <c r="BM35" s="21">
        <v>2020</v>
      </c>
      <c r="BN35" s="21" t="s">
        <v>138</v>
      </c>
      <c r="BO35" s="21">
        <v>9.5</v>
      </c>
    </row>
    <row r="36" spans="1:67" x14ac:dyDescent="0.25">
      <c r="A36" s="71" t="s">
        <v>551</v>
      </c>
      <c r="B36" s="27" t="s">
        <v>691</v>
      </c>
      <c r="C36" t="s">
        <v>552</v>
      </c>
      <c r="D36">
        <v>2017</v>
      </c>
      <c r="E36" t="s">
        <v>136</v>
      </c>
      <c r="F36" t="s">
        <v>66</v>
      </c>
      <c r="G36" t="s">
        <v>184</v>
      </c>
      <c r="H36" t="s">
        <v>140</v>
      </c>
      <c r="I36" t="s">
        <v>68</v>
      </c>
      <c r="J36" t="s">
        <v>553</v>
      </c>
      <c r="K36" t="s">
        <v>554</v>
      </c>
      <c r="L36">
        <v>107</v>
      </c>
      <c r="M36" t="s">
        <v>70</v>
      </c>
      <c r="N36" t="s">
        <v>71</v>
      </c>
      <c r="O36">
        <v>34</v>
      </c>
      <c r="P36">
        <v>30</v>
      </c>
      <c r="Q36">
        <v>31.8</v>
      </c>
      <c r="R36">
        <v>0</v>
      </c>
      <c r="S36" t="s">
        <v>76</v>
      </c>
      <c r="T36">
        <v>0</v>
      </c>
      <c r="U36" s="9" t="s">
        <v>128</v>
      </c>
      <c r="V36" t="s">
        <v>555</v>
      </c>
      <c r="W36" t="s">
        <v>92</v>
      </c>
      <c r="X36" t="s">
        <v>76</v>
      </c>
      <c r="Y36" t="s">
        <v>76</v>
      </c>
      <c r="Z36" t="s">
        <v>556</v>
      </c>
      <c r="AA36" t="s">
        <v>76</v>
      </c>
      <c r="AB36" t="s">
        <v>76</v>
      </c>
      <c r="AC36" t="s">
        <v>76</v>
      </c>
      <c r="AD36" t="s">
        <v>76</v>
      </c>
      <c r="AE36" t="s">
        <v>557</v>
      </c>
      <c r="AF36" t="s">
        <v>76</v>
      </c>
      <c r="AG36" t="s">
        <v>558</v>
      </c>
      <c r="AH36" t="s">
        <v>559</v>
      </c>
      <c r="AI36" t="s">
        <v>560</v>
      </c>
      <c r="AJ36">
        <v>2015</v>
      </c>
      <c r="AK36" t="s">
        <v>79</v>
      </c>
      <c r="AL36">
        <v>41.36</v>
      </c>
      <c r="AM36">
        <v>44.7</v>
      </c>
      <c r="AN36">
        <v>21.8</v>
      </c>
      <c r="AO36">
        <v>83.8</v>
      </c>
      <c r="AP36">
        <v>21.8</v>
      </c>
      <c r="AQ36">
        <v>66.88</v>
      </c>
      <c r="AR36" s="47">
        <v>41.36</v>
      </c>
      <c r="AS36" s="48">
        <v>79.48</v>
      </c>
      <c r="AT36" s="48">
        <v>9.5500000000000007</v>
      </c>
      <c r="AU36" s="48">
        <v>2.2799999999999998</v>
      </c>
      <c r="AV36" s="49">
        <v>8.68</v>
      </c>
      <c r="AW36" s="47">
        <v>29.3</v>
      </c>
      <c r="AX36" s="48">
        <f t="shared" si="0"/>
        <v>9.5999999999999979</v>
      </c>
      <c r="AY36" s="48">
        <v>38.9</v>
      </c>
      <c r="AZ36" s="48">
        <v>32.369999999999997</v>
      </c>
      <c r="BA36" s="48">
        <v>27.42</v>
      </c>
      <c r="BB36" s="49">
        <v>1.31</v>
      </c>
      <c r="BC36" s="42">
        <v>22.4</v>
      </c>
      <c r="BD36" t="s">
        <v>1217</v>
      </c>
      <c r="BG36" s="37" t="s">
        <v>187</v>
      </c>
      <c r="BH36" s="19" t="s">
        <v>137</v>
      </c>
      <c r="BI36" s="8">
        <v>3111.4</v>
      </c>
      <c r="BJ36" s="8" t="s">
        <v>82</v>
      </c>
      <c r="BL36" s="21">
        <v>75</v>
      </c>
      <c r="BM36" s="21">
        <v>2020</v>
      </c>
      <c r="BN36" s="21" t="s">
        <v>138</v>
      </c>
      <c r="BO36" s="21">
        <v>5</v>
      </c>
    </row>
    <row r="37" spans="1:67" x14ac:dyDescent="0.25">
      <c r="A37" s="71">
        <v>114</v>
      </c>
      <c r="B37" s="27" t="s">
        <v>561</v>
      </c>
      <c r="C37" t="s">
        <v>562</v>
      </c>
      <c r="D37">
        <v>2012</v>
      </c>
      <c r="E37" t="s">
        <v>108</v>
      </c>
      <c r="F37" t="s">
        <v>428</v>
      </c>
      <c r="G37" t="s">
        <v>322</v>
      </c>
      <c r="H37" t="s">
        <v>140</v>
      </c>
      <c r="I37" t="s">
        <v>68</v>
      </c>
      <c r="J37" t="s">
        <v>563</v>
      </c>
      <c r="K37" t="s">
        <v>69</v>
      </c>
      <c r="L37">
        <v>60</v>
      </c>
      <c r="M37" t="s">
        <v>70</v>
      </c>
      <c r="N37" t="s">
        <v>509</v>
      </c>
      <c r="O37">
        <v>1</v>
      </c>
      <c r="P37">
        <v>1</v>
      </c>
      <c r="Q37">
        <v>1.67</v>
      </c>
      <c r="R37">
        <v>0</v>
      </c>
      <c r="S37" t="s">
        <v>76</v>
      </c>
      <c r="T37" t="s">
        <v>76</v>
      </c>
      <c r="V37" t="s">
        <v>75</v>
      </c>
      <c r="W37" t="s">
        <v>564</v>
      </c>
      <c r="X37" t="s">
        <v>77</v>
      </c>
      <c r="Y37" t="s">
        <v>77</v>
      </c>
      <c r="AA37" t="s">
        <v>77</v>
      </c>
      <c r="AB37" t="s">
        <v>76</v>
      </c>
      <c r="AC37" t="s">
        <v>76</v>
      </c>
      <c r="AD37" t="s">
        <v>76</v>
      </c>
      <c r="AE37" t="s">
        <v>565</v>
      </c>
      <c r="AG37" t="s">
        <v>566</v>
      </c>
      <c r="AH37" t="s">
        <v>567</v>
      </c>
      <c r="AI37" t="s">
        <v>568</v>
      </c>
      <c r="AJ37">
        <v>2010</v>
      </c>
      <c r="AK37" t="s">
        <v>156</v>
      </c>
      <c r="AL37">
        <v>99.72</v>
      </c>
      <c r="AM37">
        <v>99.8</v>
      </c>
      <c r="AN37">
        <v>99.7</v>
      </c>
      <c r="AO37">
        <v>99.9</v>
      </c>
      <c r="AP37">
        <v>100</v>
      </c>
      <c r="AQ37">
        <v>99.6</v>
      </c>
      <c r="AR37" s="47">
        <v>96.54</v>
      </c>
      <c r="AS37" s="48">
        <v>99.72</v>
      </c>
      <c r="AT37" s="48">
        <v>0</v>
      </c>
      <c r="AU37" s="48">
        <v>0</v>
      </c>
      <c r="AV37" s="49">
        <v>0.28000000000000003</v>
      </c>
      <c r="AW37" s="47">
        <v>96.8</v>
      </c>
      <c r="AX37" s="48">
        <f t="shared" si="0"/>
        <v>3.0400000000000063</v>
      </c>
      <c r="AY37" s="48">
        <v>99.84</v>
      </c>
      <c r="AZ37" s="48">
        <v>0</v>
      </c>
      <c r="BA37" s="48">
        <v>0.16</v>
      </c>
      <c r="BB37" s="49">
        <v>0</v>
      </c>
      <c r="BC37" s="36">
        <v>21.81</v>
      </c>
      <c r="BD37" t="s">
        <v>1197</v>
      </c>
      <c r="BE37" s="36">
        <v>6</v>
      </c>
      <c r="BF37">
        <v>2010</v>
      </c>
      <c r="BG37" s="37" t="s">
        <v>323</v>
      </c>
      <c r="BH37" s="19" t="s">
        <v>137</v>
      </c>
      <c r="BI37" s="8">
        <v>59797.1</v>
      </c>
      <c r="BJ37" s="8" t="s">
        <v>82</v>
      </c>
      <c r="BL37" s="23">
        <v>14.3</v>
      </c>
      <c r="BM37" s="23">
        <v>2022</v>
      </c>
      <c r="BN37" s="23" t="s">
        <v>569</v>
      </c>
      <c r="BO37" s="23">
        <v>12.5</v>
      </c>
    </row>
    <row r="38" spans="1:67" x14ac:dyDescent="0.25">
      <c r="A38" s="71">
        <v>115</v>
      </c>
      <c r="B38" s="27" t="s">
        <v>561</v>
      </c>
      <c r="C38" t="s">
        <v>570</v>
      </c>
      <c r="D38">
        <v>2015</v>
      </c>
      <c r="E38" t="s">
        <v>250</v>
      </c>
      <c r="F38" t="s">
        <v>66</v>
      </c>
      <c r="G38" t="s">
        <v>99</v>
      </c>
      <c r="H38" t="s">
        <v>140</v>
      </c>
      <c r="I38" t="s">
        <v>76</v>
      </c>
      <c r="J38" t="s">
        <v>571</v>
      </c>
      <c r="K38" t="s">
        <v>69</v>
      </c>
      <c r="L38">
        <v>205</v>
      </c>
      <c r="M38" t="s">
        <v>572</v>
      </c>
      <c r="N38" t="s">
        <v>573</v>
      </c>
      <c r="O38">
        <v>14</v>
      </c>
      <c r="P38">
        <v>14</v>
      </c>
      <c r="Q38">
        <v>6.83</v>
      </c>
      <c r="R38">
        <v>0</v>
      </c>
      <c r="S38" t="s">
        <v>76</v>
      </c>
      <c r="T38" t="s">
        <v>76</v>
      </c>
      <c r="V38" t="s">
        <v>75</v>
      </c>
      <c r="W38" t="s">
        <v>298</v>
      </c>
      <c r="X38" t="s">
        <v>77</v>
      </c>
      <c r="Y38" t="s">
        <v>77</v>
      </c>
      <c r="AA38" t="s">
        <v>77</v>
      </c>
      <c r="AB38" t="s">
        <v>76</v>
      </c>
      <c r="AC38" t="s">
        <v>76</v>
      </c>
      <c r="AD38" t="s">
        <v>76</v>
      </c>
      <c r="AG38" t="s">
        <v>574</v>
      </c>
      <c r="AH38" t="s">
        <v>429</v>
      </c>
      <c r="AI38" t="s">
        <v>575</v>
      </c>
      <c r="AJ38">
        <v>2012</v>
      </c>
      <c r="AK38" t="s">
        <v>156</v>
      </c>
      <c r="AL38">
        <v>99.89</v>
      </c>
      <c r="AM38">
        <v>100</v>
      </c>
      <c r="AN38">
        <v>100</v>
      </c>
      <c r="AO38">
        <v>100</v>
      </c>
      <c r="AP38">
        <v>100</v>
      </c>
      <c r="AQ38">
        <v>100</v>
      </c>
      <c r="AR38" s="47">
        <v>99.89</v>
      </c>
      <c r="AS38" s="48">
        <v>100</v>
      </c>
      <c r="AT38" s="48">
        <v>0</v>
      </c>
      <c r="AU38" s="48">
        <v>0</v>
      </c>
      <c r="AV38" s="49">
        <v>0</v>
      </c>
      <c r="AW38" s="53">
        <v>96.490960000000001</v>
      </c>
      <c r="AX38" s="48">
        <f t="shared" si="0"/>
        <v>2.7290399999999977</v>
      </c>
      <c r="AY38" s="48">
        <v>99.22</v>
      </c>
      <c r="AZ38" s="48">
        <v>0.78</v>
      </c>
      <c r="BA38" s="48">
        <v>0</v>
      </c>
      <c r="BB38" s="49">
        <v>0</v>
      </c>
      <c r="BC38" s="36">
        <v>17.600000000000001</v>
      </c>
      <c r="BD38" t="s">
        <v>1169</v>
      </c>
      <c r="BE38" s="36">
        <v>12.7</v>
      </c>
      <c r="BF38">
        <v>2013</v>
      </c>
      <c r="BG38" s="37" t="s">
        <v>88</v>
      </c>
      <c r="BH38" s="19" t="s">
        <v>137</v>
      </c>
      <c r="BI38" s="8">
        <v>58182.1</v>
      </c>
      <c r="BJ38" s="8" t="s">
        <v>82</v>
      </c>
      <c r="BL38" s="21">
        <v>11.56</v>
      </c>
      <c r="BM38" s="21">
        <v>2016</v>
      </c>
      <c r="BN38" s="21" t="s">
        <v>138</v>
      </c>
      <c r="BO38" s="21">
        <v>3</v>
      </c>
    </row>
    <row r="39" spans="1:67" x14ac:dyDescent="0.25">
      <c r="A39" s="71">
        <v>116</v>
      </c>
      <c r="B39" s="27" t="s">
        <v>561</v>
      </c>
      <c r="C39" t="s">
        <v>576</v>
      </c>
      <c r="D39">
        <v>2009</v>
      </c>
      <c r="E39" t="s">
        <v>244</v>
      </c>
      <c r="F39" t="s">
        <v>66</v>
      </c>
      <c r="G39" t="s">
        <v>104</v>
      </c>
      <c r="H39" t="s">
        <v>140</v>
      </c>
      <c r="I39" t="s">
        <v>76</v>
      </c>
      <c r="J39" t="s">
        <v>577</v>
      </c>
      <c r="K39" t="s">
        <v>69</v>
      </c>
      <c r="L39">
        <v>112</v>
      </c>
      <c r="M39" t="s">
        <v>70</v>
      </c>
      <c r="N39" t="s">
        <v>573</v>
      </c>
      <c r="O39">
        <v>3</v>
      </c>
      <c r="P39">
        <v>3</v>
      </c>
      <c r="Q39">
        <v>2.68</v>
      </c>
      <c r="R39">
        <v>0</v>
      </c>
      <c r="S39" t="s">
        <v>76</v>
      </c>
      <c r="T39" t="s">
        <v>76</v>
      </c>
      <c r="V39" t="s">
        <v>75</v>
      </c>
      <c r="W39" t="s">
        <v>298</v>
      </c>
      <c r="X39" t="s">
        <v>77</v>
      </c>
      <c r="Y39" t="s">
        <v>77</v>
      </c>
      <c r="AA39" t="s">
        <v>77</v>
      </c>
      <c r="AB39" t="s">
        <v>76</v>
      </c>
      <c r="AC39" t="s">
        <v>76</v>
      </c>
      <c r="AD39" t="s">
        <v>76</v>
      </c>
      <c r="AG39" t="s">
        <v>578</v>
      </c>
      <c r="AH39" t="s">
        <v>579</v>
      </c>
      <c r="AI39" t="s">
        <v>580</v>
      </c>
      <c r="AJ39">
        <v>2008</v>
      </c>
      <c r="AK39" t="s">
        <v>581</v>
      </c>
      <c r="AL39">
        <v>97.8</v>
      </c>
      <c r="AM39">
        <v>99</v>
      </c>
      <c r="AN39">
        <v>100</v>
      </c>
      <c r="AO39">
        <v>100</v>
      </c>
      <c r="AP39">
        <v>100</v>
      </c>
      <c r="AQ39">
        <v>98.96</v>
      </c>
      <c r="AR39" s="47">
        <v>94</v>
      </c>
      <c r="AS39" s="48">
        <v>99.16</v>
      </c>
      <c r="AT39" s="48">
        <v>0</v>
      </c>
      <c r="AU39" s="48">
        <v>0</v>
      </c>
      <c r="AV39" s="49">
        <v>0.84</v>
      </c>
      <c r="AW39" s="53">
        <v>64.80671274524056</v>
      </c>
      <c r="AX39" s="48">
        <f t="shared" si="0"/>
        <v>33.733287254759446</v>
      </c>
      <c r="AY39" s="48">
        <v>98.54</v>
      </c>
      <c r="AZ39" s="48">
        <v>0.32</v>
      </c>
      <c r="BA39" s="48">
        <v>1.1399999999999999</v>
      </c>
      <c r="BB39" s="49">
        <v>0</v>
      </c>
      <c r="BC39" s="36">
        <v>21.56</v>
      </c>
      <c r="BD39" t="s">
        <v>1170</v>
      </c>
      <c r="BE39" s="36">
        <v>5.0999999999999996</v>
      </c>
      <c r="BF39">
        <v>2008</v>
      </c>
      <c r="BG39" s="37" t="s">
        <v>80</v>
      </c>
      <c r="BH39" s="19" t="s">
        <v>137</v>
      </c>
      <c r="BI39" s="8">
        <v>37291.5</v>
      </c>
      <c r="BJ39" s="8" t="s">
        <v>82</v>
      </c>
      <c r="BL39" s="22"/>
      <c r="BM39" s="22"/>
      <c r="BN39" s="22" t="s">
        <v>260</v>
      </c>
      <c r="BO39" s="22"/>
    </row>
    <row r="40" spans="1:67" x14ac:dyDescent="0.25">
      <c r="A40" s="71">
        <v>117</v>
      </c>
      <c r="B40" s="27" t="s">
        <v>561</v>
      </c>
      <c r="C40" t="s">
        <v>582</v>
      </c>
      <c r="D40">
        <v>2023</v>
      </c>
      <c r="E40" t="s">
        <v>275</v>
      </c>
      <c r="F40" t="s">
        <v>66</v>
      </c>
      <c r="G40" t="s">
        <v>583</v>
      </c>
      <c r="H40" t="s">
        <v>584</v>
      </c>
      <c r="I40" t="s">
        <v>68</v>
      </c>
      <c r="J40" t="s">
        <v>585</v>
      </c>
      <c r="K40" t="s">
        <v>586</v>
      </c>
      <c r="L40">
        <v>448</v>
      </c>
      <c r="M40" t="s">
        <v>90</v>
      </c>
      <c r="N40" t="s">
        <v>573</v>
      </c>
      <c r="O40">
        <v>71</v>
      </c>
      <c r="P40">
        <v>71</v>
      </c>
      <c r="Q40">
        <v>15.85</v>
      </c>
      <c r="R40">
        <v>0</v>
      </c>
      <c r="S40" t="s">
        <v>76</v>
      </c>
      <c r="T40" t="s">
        <v>76</v>
      </c>
      <c r="V40" t="s">
        <v>75</v>
      </c>
      <c r="W40" t="s">
        <v>298</v>
      </c>
      <c r="X40" t="s">
        <v>77</v>
      </c>
      <c r="Y40" t="s">
        <v>77</v>
      </c>
      <c r="Z40" t="s">
        <v>587</v>
      </c>
      <c r="AA40" t="s">
        <v>77</v>
      </c>
      <c r="AB40" t="s">
        <v>76</v>
      </c>
      <c r="AC40" t="s">
        <v>76</v>
      </c>
      <c r="AD40" t="s">
        <v>76</v>
      </c>
      <c r="AE40" t="s">
        <v>588</v>
      </c>
      <c r="AG40" t="s">
        <v>589</v>
      </c>
      <c r="AH40" s="1" t="s">
        <v>590</v>
      </c>
      <c r="AI40" t="s">
        <v>591</v>
      </c>
      <c r="AJ40">
        <v>2019</v>
      </c>
      <c r="AK40" t="s">
        <v>156</v>
      </c>
      <c r="AL40">
        <v>99.62</v>
      </c>
      <c r="AM40">
        <v>100</v>
      </c>
      <c r="AN40">
        <v>100</v>
      </c>
      <c r="AO40">
        <v>100</v>
      </c>
      <c r="AP40">
        <v>100</v>
      </c>
      <c r="AQ40">
        <v>100</v>
      </c>
      <c r="AR40" s="47">
        <v>99.62</v>
      </c>
      <c r="AS40" s="48">
        <v>100</v>
      </c>
      <c r="AT40" s="48">
        <v>0</v>
      </c>
      <c r="AU40" s="48">
        <v>0</v>
      </c>
      <c r="AV40" s="49">
        <v>0</v>
      </c>
      <c r="AW40" s="47">
        <v>97</v>
      </c>
      <c r="AX40" s="48">
        <f t="shared" si="0"/>
        <v>2.4899999999999949</v>
      </c>
      <c r="AY40" s="48">
        <v>99.49</v>
      </c>
      <c r="AZ40" s="48">
        <v>0.51</v>
      </c>
      <c r="BA40" s="48">
        <v>0</v>
      </c>
      <c r="BB40" s="49">
        <v>0</v>
      </c>
      <c r="BC40" s="36">
        <v>22.54</v>
      </c>
      <c r="BD40" t="s">
        <v>1171</v>
      </c>
      <c r="BE40" s="36">
        <v>15.8</v>
      </c>
      <c r="BF40">
        <v>2019</v>
      </c>
      <c r="BG40" s="37" t="s">
        <v>88</v>
      </c>
      <c r="BH40" s="19" t="s">
        <v>137</v>
      </c>
      <c r="BI40" s="8">
        <v>60480</v>
      </c>
      <c r="BJ40" s="8" t="s">
        <v>82</v>
      </c>
      <c r="BL40" s="21">
        <v>10.33</v>
      </c>
      <c r="BM40" s="21">
        <v>2020</v>
      </c>
      <c r="BN40" s="21" t="s">
        <v>138</v>
      </c>
      <c r="BO40" s="21">
        <v>1.5</v>
      </c>
    </row>
    <row r="41" spans="1:67" x14ac:dyDescent="0.25">
      <c r="A41" s="71">
        <v>118</v>
      </c>
      <c r="B41" s="27" t="s">
        <v>561</v>
      </c>
      <c r="C41" t="s">
        <v>592</v>
      </c>
      <c r="D41">
        <v>2019</v>
      </c>
      <c r="E41" t="s">
        <v>471</v>
      </c>
      <c r="F41" t="s">
        <v>66</v>
      </c>
      <c r="G41" t="s">
        <v>593</v>
      </c>
      <c r="H41" t="s">
        <v>140</v>
      </c>
      <c r="I41" t="s">
        <v>76</v>
      </c>
      <c r="J41" t="s">
        <v>577</v>
      </c>
      <c r="K41" t="s">
        <v>69</v>
      </c>
      <c r="L41">
        <v>500</v>
      </c>
      <c r="M41" t="s">
        <v>572</v>
      </c>
      <c r="N41" t="s">
        <v>573</v>
      </c>
      <c r="O41">
        <v>101</v>
      </c>
      <c r="P41">
        <v>101</v>
      </c>
      <c r="Q41">
        <v>20.2</v>
      </c>
      <c r="R41">
        <v>0</v>
      </c>
      <c r="S41" t="s">
        <v>76</v>
      </c>
      <c r="T41" t="s">
        <v>76</v>
      </c>
      <c r="V41" t="s">
        <v>75</v>
      </c>
      <c r="W41" t="s">
        <v>298</v>
      </c>
      <c r="X41" t="s">
        <v>77</v>
      </c>
      <c r="Y41" t="s">
        <v>77</v>
      </c>
      <c r="AA41" t="s">
        <v>77</v>
      </c>
      <c r="AB41" t="s">
        <v>76</v>
      </c>
      <c r="AC41" t="s">
        <v>76</v>
      </c>
      <c r="AD41" t="s">
        <v>76</v>
      </c>
      <c r="AG41" t="s">
        <v>594</v>
      </c>
      <c r="AH41" t="s">
        <v>595</v>
      </c>
      <c r="AI41" t="s">
        <v>596</v>
      </c>
      <c r="AJ41">
        <v>2017</v>
      </c>
      <c r="AK41" t="s">
        <v>581</v>
      </c>
      <c r="AL41">
        <v>99.05</v>
      </c>
      <c r="AM41">
        <v>100</v>
      </c>
      <c r="AN41">
        <v>100</v>
      </c>
      <c r="AO41">
        <v>100</v>
      </c>
      <c r="AP41">
        <v>100</v>
      </c>
      <c r="AQ41">
        <v>99.76</v>
      </c>
      <c r="AR41" s="47">
        <v>99.05</v>
      </c>
      <c r="AS41" s="48">
        <v>99.77</v>
      </c>
      <c r="AT41" s="48">
        <v>0</v>
      </c>
      <c r="AU41" s="48">
        <v>0.04</v>
      </c>
      <c r="AV41" s="49">
        <v>0.19</v>
      </c>
      <c r="AW41" s="53">
        <v>76.833780000000004</v>
      </c>
      <c r="AX41" s="48">
        <f t="shared" si="0"/>
        <v>22.686219999999992</v>
      </c>
      <c r="AY41" s="48">
        <v>99.52</v>
      </c>
      <c r="AZ41" s="48">
        <v>0</v>
      </c>
      <c r="BA41" s="48">
        <v>0.48</v>
      </c>
      <c r="BB41" s="49">
        <v>0</v>
      </c>
      <c r="BC41" s="36">
        <v>23.07</v>
      </c>
      <c r="BD41" t="s">
        <v>1172</v>
      </c>
      <c r="BE41" s="36">
        <v>17.100000000000001</v>
      </c>
      <c r="BF41">
        <v>2017</v>
      </c>
      <c r="BG41" s="37" t="s">
        <v>374</v>
      </c>
      <c r="BH41" s="19" t="s">
        <v>137</v>
      </c>
      <c r="BI41" s="8">
        <v>41418</v>
      </c>
      <c r="BJ41" s="8" t="s">
        <v>82</v>
      </c>
      <c r="BL41" s="21">
        <v>30.8</v>
      </c>
      <c r="BM41" s="21">
        <v>2017</v>
      </c>
      <c r="BN41" s="21" t="s">
        <v>138</v>
      </c>
      <c r="BO41" s="21">
        <v>0</v>
      </c>
    </row>
    <row r="42" spans="1:67" x14ac:dyDescent="0.25">
      <c r="A42" s="71">
        <v>119</v>
      </c>
      <c r="B42" s="27" t="s">
        <v>561</v>
      </c>
      <c r="C42" t="s">
        <v>597</v>
      </c>
      <c r="D42">
        <v>2019</v>
      </c>
      <c r="E42" t="s">
        <v>598</v>
      </c>
      <c r="F42" t="s">
        <v>66</v>
      </c>
      <c r="G42" t="s">
        <v>109</v>
      </c>
      <c r="H42" t="s">
        <v>140</v>
      </c>
      <c r="I42" t="s">
        <v>76</v>
      </c>
      <c r="J42" t="s">
        <v>577</v>
      </c>
      <c r="K42" t="s">
        <v>69</v>
      </c>
      <c r="L42">
        <v>50</v>
      </c>
      <c r="M42" t="s">
        <v>70</v>
      </c>
      <c r="N42" t="s">
        <v>573</v>
      </c>
      <c r="O42">
        <v>6</v>
      </c>
      <c r="P42">
        <v>6</v>
      </c>
      <c r="Q42">
        <v>12</v>
      </c>
      <c r="R42">
        <v>0</v>
      </c>
      <c r="S42" t="s">
        <v>76</v>
      </c>
      <c r="T42" t="s">
        <v>76</v>
      </c>
      <c r="V42" t="s">
        <v>75</v>
      </c>
      <c r="W42" t="s">
        <v>298</v>
      </c>
      <c r="X42" t="s">
        <v>77</v>
      </c>
      <c r="Y42" t="s">
        <v>77</v>
      </c>
      <c r="AA42" t="s">
        <v>77</v>
      </c>
      <c r="AB42" t="s">
        <v>76</v>
      </c>
      <c r="AC42" t="s">
        <v>76</v>
      </c>
      <c r="AD42" t="s">
        <v>76</v>
      </c>
      <c r="AG42" t="s">
        <v>566</v>
      </c>
      <c r="AH42" t="s">
        <v>599</v>
      </c>
      <c r="AI42" t="s">
        <v>600</v>
      </c>
      <c r="AJ42">
        <v>2016</v>
      </c>
      <c r="AK42" t="s">
        <v>156</v>
      </c>
      <c r="AL42">
        <v>99.13</v>
      </c>
      <c r="AM42">
        <v>100</v>
      </c>
      <c r="AN42">
        <v>100</v>
      </c>
      <c r="AO42">
        <v>100</v>
      </c>
      <c r="AP42">
        <v>100</v>
      </c>
      <c r="AQ42">
        <v>100</v>
      </c>
      <c r="AR42" s="47">
        <v>99.13</v>
      </c>
      <c r="AS42" s="48">
        <v>100</v>
      </c>
      <c r="AT42" s="48">
        <v>0</v>
      </c>
      <c r="AU42" s="48">
        <v>0</v>
      </c>
      <c r="AV42" s="49">
        <v>0</v>
      </c>
      <c r="AW42" s="61">
        <v>97.8</v>
      </c>
      <c r="AX42" s="48">
        <f t="shared" si="0"/>
        <v>1.7999999999999972</v>
      </c>
      <c r="AY42" s="48">
        <v>99.6</v>
      </c>
      <c r="AZ42" s="48">
        <v>0.4</v>
      </c>
      <c r="BA42" s="48">
        <v>0</v>
      </c>
      <c r="BB42" s="49">
        <v>0</v>
      </c>
      <c r="BC42" s="36">
        <v>17.329999999999998</v>
      </c>
      <c r="BD42" t="s">
        <v>1195</v>
      </c>
      <c r="BE42" s="36">
        <v>5.8</v>
      </c>
      <c r="BF42">
        <v>2016</v>
      </c>
      <c r="BG42" s="37" t="s">
        <v>114</v>
      </c>
      <c r="BH42" s="19" t="s">
        <v>137</v>
      </c>
      <c r="BI42" s="8">
        <v>64989.4</v>
      </c>
      <c r="BJ42" s="8" t="s">
        <v>82</v>
      </c>
      <c r="BL42" s="21">
        <v>7.27</v>
      </c>
      <c r="BM42" s="21">
        <v>2020</v>
      </c>
      <c r="BN42" s="21" t="s">
        <v>138</v>
      </c>
      <c r="BO42" s="21">
        <v>4.5</v>
      </c>
    </row>
    <row r="43" spans="1:67" x14ac:dyDescent="0.25">
      <c r="A43" s="71">
        <v>120</v>
      </c>
      <c r="B43" s="27" t="s">
        <v>561</v>
      </c>
      <c r="C43" t="s">
        <v>601</v>
      </c>
      <c r="D43">
        <v>2012</v>
      </c>
      <c r="E43" t="s">
        <v>103</v>
      </c>
      <c r="F43" t="s">
        <v>66</v>
      </c>
      <c r="G43" t="s">
        <v>99</v>
      </c>
      <c r="H43" t="s">
        <v>140</v>
      </c>
      <c r="I43" t="s">
        <v>76</v>
      </c>
      <c r="J43" t="s">
        <v>577</v>
      </c>
      <c r="K43" t="s">
        <v>69</v>
      </c>
      <c r="L43">
        <v>231</v>
      </c>
      <c r="M43" t="s">
        <v>572</v>
      </c>
      <c r="N43" t="s">
        <v>573</v>
      </c>
      <c r="O43">
        <v>8</v>
      </c>
      <c r="P43">
        <v>8</v>
      </c>
      <c r="Q43">
        <v>3.46</v>
      </c>
      <c r="R43">
        <v>0</v>
      </c>
      <c r="S43" t="s">
        <v>76</v>
      </c>
      <c r="T43" t="s">
        <v>76</v>
      </c>
      <c r="V43" t="s">
        <v>75</v>
      </c>
      <c r="W43" t="s">
        <v>298</v>
      </c>
      <c r="X43" t="s">
        <v>77</v>
      </c>
      <c r="Y43" t="s">
        <v>77</v>
      </c>
      <c r="AA43" t="s">
        <v>77</v>
      </c>
      <c r="AB43" t="s">
        <v>76</v>
      </c>
      <c r="AC43" t="s">
        <v>76</v>
      </c>
      <c r="AD43" t="s">
        <v>76</v>
      </c>
      <c r="AG43" t="s">
        <v>566</v>
      </c>
      <c r="AH43" t="s">
        <v>602</v>
      </c>
      <c r="AI43" t="s">
        <v>603</v>
      </c>
      <c r="AJ43">
        <v>2011</v>
      </c>
      <c r="AK43" t="s">
        <v>156</v>
      </c>
      <c r="AL43">
        <v>99.88</v>
      </c>
      <c r="AM43">
        <v>100</v>
      </c>
      <c r="AN43">
        <v>100</v>
      </c>
      <c r="AO43">
        <v>100</v>
      </c>
      <c r="AP43">
        <v>100</v>
      </c>
      <c r="AQ43">
        <v>99.9</v>
      </c>
      <c r="AR43" s="47">
        <v>99.88</v>
      </c>
      <c r="AS43" s="48">
        <v>100</v>
      </c>
      <c r="AT43" s="48">
        <v>0</v>
      </c>
      <c r="AU43" s="48">
        <v>0</v>
      </c>
      <c r="AV43" s="49">
        <v>0</v>
      </c>
      <c r="AW43" s="61">
        <v>96.4</v>
      </c>
      <c r="AX43" s="48">
        <f t="shared" si="0"/>
        <v>2.8199999999999932</v>
      </c>
      <c r="AY43" s="48">
        <v>99.22</v>
      </c>
      <c r="AZ43" s="48">
        <v>0.78</v>
      </c>
      <c r="BA43" s="48">
        <v>0</v>
      </c>
      <c r="BB43" s="49">
        <v>0</v>
      </c>
      <c r="BC43" s="36">
        <v>17.600000000000001</v>
      </c>
      <c r="BD43" t="s">
        <v>1169</v>
      </c>
      <c r="BE43" s="36">
        <v>12.7</v>
      </c>
      <c r="BF43">
        <v>2011</v>
      </c>
      <c r="BG43" s="37" t="s">
        <v>88</v>
      </c>
      <c r="BH43" s="19" t="s">
        <v>137</v>
      </c>
      <c r="BI43" s="8">
        <v>57951</v>
      </c>
      <c r="BJ43" s="8" t="s">
        <v>82</v>
      </c>
      <c r="BL43" s="21">
        <v>11.56</v>
      </c>
      <c r="BM43" s="21">
        <v>2016</v>
      </c>
      <c r="BN43" s="21" t="s">
        <v>138</v>
      </c>
      <c r="BO43" s="21">
        <v>5</v>
      </c>
    </row>
    <row r="44" spans="1:67" x14ac:dyDescent="0.25">
      <c r="A44" s="71">
        <v>122</v>
      </c>
      <c r="B44" s="27" t="s">
        <v>561</v>
      </c>
      <c r="C44" t="s">
        <v>604</v>
      </c>
      <c r="D44">
        <v>2018</v>
      </c>
      <c r="E44" t="s">
        <v>116</v>
      </c>
      <c r="F44" t="s">
        <v>66</v>
      </c>
      <c r="G44" t="s">
        <v>67</v>
      </c>
      <c r="H44" t="s">
        <v>140</v>
      </c>
      <c r="I44" t="s">
        <v>76</v>
      </c>
      <c r="J44" t="s">
        <v>605</v>
      </c>
      <c r="K44" t="s">
        <v>69</v>
      </c>
      <c r="L44">
        <v>815</v>
      </c>
      <c r="M44" t="s">
        <v>90</v>
      </c>
      <c r="N44" t="s">
        <v>573</v>
      </c>
      <c r="O44">
        <v>57</v>
      </c>
      <c r="P44">
        <v>57</v>
      </c>
      <c r="Q44">
        <v>6.99</v>
      </c>
      <c r="R44">
        <v>0</v>
      </c>
      <c r="S44" t="s">
        <v>76</v>
      </c>
      <c r="T44" t="s">
        <v>76</v>
      </c>
      <c r="V44" t="s">
        <v>75</v>
      </c>
      <c r="W44" t="s">
        <v>298</v>
      </c>
      <c r="X44" t="s">
        <v>77</v>
      </c>
      <c r="Y44" t="s">
        <v>77</v>
      </c>
      <c r="AA44" t="s">
        <v>77</v>
      </c>
      <c r="AB44" t="s">
        <v>76</v>
      </c>
      <c r="AC44" t="s">
        <v>76</v>
      </c>
      <c r="AD44" t="s">
        <v>76</v>
      </c>
      <c r="AE44" t="s">
        <v>606</v>
      </c>
      <c r="AG44" t="s">
        <v>594</v>
      </c>
      <c r="AI44" t="s">
        <v>607</v>
      </c>
      <c r="AJ44">
        <v>2015</v>
      </c>
      <c r="AK44" t="s">
        <v>156</v>
      </c>
      <c r="AL44">
        <v>99.6</v>
      </c>
      <c r="AM44">
        <v>99.6</v>
      </c>
      <c r="AN44">
        <v>100</v>
      </c>
      <c r="AO44">
        <v>100</v>
      </c>
      <c r="AP44">
        <v>100</v>
      </c>
      <c r="AQ44">
        <v>99.93</v>
      </c>
      <c r="AR44" s="47">
        <v>99.6</v>
      </c>
      <c r="AS44" s="48">
        <v>99.93</v>
      </c>
      <c r="AT44" s="48">
        <v>0</v>
      </c>
      <c r="AU44" s="48">
        <v>0</v>
      </c>
      <c r="AV44" s="49">
        <v>7.0000000000000007E-2</v>
      </c>
      <c r="AW44" s="53">
        <v>90.3</v>
      </c>
      <c r="AX44" s="48">
        <f t="shared" si="0"/>
        <v>9.61</v>
      </c>
      <c r="AY44" s="48">
        <v>99.91</v>
      </c>
      <c r="AZ44" s="48">
        <v>0.08</v>
      </c>
      <c r="BA44" s="48">
        <v>0.01</v>
      </c>
      <c r="BB44" s="49">
        <v>0</v>
      </c>
      <c r="BC44" s="36">
        <v>26.26</v>
      </c>
      <c r="BD44" t="s">
        <v>1178</v>
      </c>
      <c r="BE44" s="36">
        <v>7.5</v>
      </c>
      <c r="BF44">
        <v>2015</v>
      </c>
      <c r="BG44" s="37" t="s">
        <v>80</v>
      </c>
      <c r="BH44" s="19" t="s">
        <v>137</v>
      </c>
      <c r="BI44" s="8">
        <v>43053.8</v>
      </c>
      <c r="BJ44" s="8" t="s">
        <v>82</v>
      </c>
      <c r="BL44" s="23">
        <v>14.1</v>
      </c>
      <c r="BM44" s="23">
        <v>2019</v>
      </c>
      <c r="BN44" s="23" t="s">
        <v>608</v>
      </c>
      <c r="BO44" s="23">
        <v>4.5</v>
      </c>
    </row>
    <row r="45" spans="1:67" x14ac:dyDescent="0.25">
      <c r="A45" s="71">
        <v>123</v>
      </c>
      <c r="B45" s="27" t="s">
        <v>561</v>
      </c>
      <c r="C45" t="s">
        <v>609</v>
      </c>
      <c r="D45">
        <v>2023</v>
      </c>
      <c r="E45" t="s">
        <v>243</v>
      </c>
      <c r="F45" t="s">
        <v>428</v>
      </c>
      <c r="G45" t="s">
        <v>67</v>
      </c>
      <c r="H45" t="s">
        <v>610</v>
      </c>
      <c r="I45" t="s">
        <v>68</v>
      </c>
      <c r="J45" t="s">
        <v>611</v>
      </c>
      <c r="K45" t="s">
        <v>586</v>
      </c>
      <c r="L45">
        <v>887</v>
      </c>
      <c r="M45" t="s">
        <v>70</v>
      </c>
      <c r="N45" t="s">
        <v>573</v>
      </c>
      <c r="O45">
        <v>23</v>
      </c>
      <c r="P45">
        <v>23</v>
      </c>
      <c r="Q45">
        <v>2.59</v>
      </c>
      <c r="R45">
        <v>0</v>
      </c>
      <c r="S45" t="s">
        <v>76</v>
      </c>
      <c r="T45" t="s">
        <v>76</v>
      </c>
      <c r="V45" t="s">
        <v>75</v>
      </c>
      <c r="W45" t="s">
        <v>298</v>
      </c>
      <c r="X45" t="s">
        <v>77</v>
      </c>
      <c r="Y45" t="s">
        <v>77</v>
      </c>
      <c r="Z45" t="s">
        <v>612</v>
      </c>
      <c r="AA45" t="s">
        <v>77</v>
      </c>
      <c r="AB45" t="s">
        <v>76</v>
      </c>
      <c r="AC45" t="s">
        <v>76</v>
      </c>
      <c r="AD45" t="s">
        <v>76</v>
      </c>
      <c r="AE45" t="s">
        <v>613</v>
      </c>
      <c r="AF45" t="s">
        <v>614</v>
      </c>
      <c r="AG45" t="s">
        <v>615</v>
      </c>
      <c r="AH45" t="s">
        <v>616</v>
      </c>
      <c r="AI45" t="s">
        <v>617</v>
      </c>
      <c r="AJ45">
        <v>2018</v>
      </c>
      <c r="AK45" t="s">
        <v>156</v>
      </c>
      <c r="AL45">
        <v>99.78</v>
      </c>
      <c r="AM45">
        <v>99.6</v>
      </c>
      <c r="AN45">
        <v>100</v>
      </c>
      <c r="AO45">
        <v>100</v>
      </c>
      <c r="AP45">
        <v>100</v>
      </c>
      <c r="AQ45">
        <v>99.91</v>
      </c>
      <c r="AR45" s="47">
        <v>99.78</v>
      </c>
      <c r="AS45" s="48">
        <v>99.91</v>
      </c>
      <c r="AT45" s="48">
        <v>0</v>
      </c>
      <c r="AU45" s="48">
        <v>0</v>
      </c>
      <c r="AV45" s="49">
        <v>0.09</v>
      </c>
      <c r="AW45" s="53">
        <v>89.555970000000002</v>
      </c>
      <c r="AX45" s="48">
        <f t="shared" si="0"/>
        <v>10.344030000000004</v>
      </c>
      <c r="AY45" s="48">
        <v>99.9</v>
      </c>
      <c r="AZ45" s="48">
        <v>0.1</v>
      </c>
      <c r="BA45" s="48">
        <v>0</v>
      </c>
      <c r="BB45" s="49">
        <v>0</v>
      </c>
      <c r="BC45" s="36">
        <v>26.26</v>
      </c>
      <c r="BD45" t="s">
        <v>1178</v>
      </c>
      <c r="BE45" s="36">
        <v>7.5</v>
      </c>
      <c r="BF45">
        <v>2018</v>
      </c>
      <c r="BG45" s="37" t="s">
        <v>80</v>
      </c>
      <c r="BH45" s="19" t="s">
        <v>137</v>
      </c>
      <c r="BI45" s="8">
        <v>46325.2</v>
      </c>
      <c r="BJ45" s="8" t="s">
        <v>82</v>
      </c>
      <c r="BL45" s="23">
        <v>14.1</v>
      </c>
      <c r="BM45" s="23">
        <v>2019</v>
      </c>
      <c r="BN45" s="23" t="s">
        <v>608</v>
      </c>
      <c r="BO45" s="23">
        <v>1</v>
      </c>
    </row>
    <row r="46" spans="1:67" x14ac:dyDescent="0.25">
      <c r="A46" s="71">
        <v>124</v>
      </c>
      <c r="B46" s="27" t="s">
        <v>561</v>
      </c>
      <c r="C46" t="s">
        <v>618</v>
      </c>
      <c r="D46">
        <v>2013</v>
      </c>
      <c r="E46" t="s">
        <v>96</v>
      </c>
      <c r="F46" t="s">
        <v>428</v>
      </c>
      <c r="G46" t="s">
        <v>115</v>
      </c>
      <c r="H46" t="s">
        <v>140</v>
      </c>
      <c r="I46" t="s">
        <v>76</v>
      </c>
      <c r="J46" t="s">
        <v>619</v>
      </c>
      <c r="K46" t="s">
        <v>586</v>
      </c>
      <c r="L46">
        <v>313</v>
      </c>
      <c r="M46" t="s">
        <v>70</v>
      </c>
      <c r="N46" t="s">
        <v>573</v>
      </c>
      <c r="O46">
        <v>8</v>
      </c>
      <c r="P46">
        <v>8</v>
      </c>
      <c r="Q46">
        <v>2.56</v>
      </c>
      <c r="R46">
        <v>0</v>
      </c>
      <c r="S46" t="s">
        <v>76</v>
      </c>
      <c r="T46" t="s">
        <v>76</v>
      </c>
      <c r="V46" t="s">
        <v>75</v>
      </c>
      <c r="W46" t="s">
        <v>298</v>
      </c>
      <c r="X46" t="s">
        <v>77</v>
      </c>
      <c r="Y46" t="s">
        <v>77</v>
      </c>
      <c r="AA46" t="s">
        <v>77</v>
      </c>
      <c r="AB46" t="s">
        <v>76</v>
      </c>
      <c r="AC46" t="s">
        <v>76</v>
      </c>
      <c r="AD46" t="s">
        <v>76</v>
      </c>
      <c r="AE46" t="s">
        <v>620</v>
      </c>
      <c r="AG46" t="s">
        <v>594</v>
      </c>
      <c r="AH46" t="s">
        <v>621</v>
      </c>
      <c r="AI46" t="s">
        <v>622</v>
      </c>
      <c r="AJ46">
        <v>2010</v>
      </c>
      <c r="AK46" t="s">
        <v>156</v>
      </c>
      <c r="AL46">
        <v>99.53</v>
      </c>
      <c r="AM46">
        <v>99.7</v>
      </c>
      <c r="AN46">
        <v>100</v>
      </c>
      <c r="AO46">
        <v>100</v>
      </c>
      <c r="AP46">
        <v>100</v>
      </c>
      <c r="AQ46">
        <v>87.07</v>
      </c>
      <c r="AR46" s="47">
        <v>99.53</v>
      </c>
      <c r="AS46" s="48">
        <v>99.61</v>
      </c>
      <c r="AT46" s="48">
        <v>0</v>
      </c>
      <c r="AU46" s="48">
        <v>0</v>
      </c>
      <c r="AV46" s="49">
        <v>0.39</v>
      </c>
      <c r="AW46" s="53">
        <v>95.2</v>
      </c>
      <c r="AX46" s="48">
        <f t="shared" si="0"/>
        <v>3.8499999999999943</v>
      </c>
      <c r="AY46" s="48">
        <v>99.05</v>
      </c>
      <c r="AZ46" s="48">
        <v>0.69</v>
      </c>
      <c r="BA46" s="48">
        <v>0.26</v>
      </c>
      <c r="BB46" s="49">
        <v>0</v>
      </c>
      <c r="BC46" s="36">
        <v>14.44</v>
      </c>
      <c r="BD46" t="s">
        <v>1173</v>
      </c>
      <c r="BE46" s="36">
        <v>7.8</v>
      </c>
      <c r="BF46">
        <v>2010</v>
      </c>
      <c r="BG46" s="37" t="s">
        <v>114</v>
      </c>
      <c r="BH46" s="19" t="s">
        <v>137</v>
      </c>
      <c r="BI46" s="8">
        <v>55520.4</v>
      </c>
      <c r="BJ46" s="8" t="s">
        <v>82</v>
      </c>
      <c r="BL46" s="21">
        <v>7.36</v>
      </c>
      <c r="BM46" s="21">
        <v>2017</v>
      </c>
      <c r="BN46" s="21" t="s">
        <v>138</v>
      </c>
      <c r="BO46" s="21">
        <v>7</v>
      </c>
    </row>
    <row r="47" spans="1:67" x14ac:dyDescent="0.25">
      <c r="A47" s="71">
        <v>125</v>
      </c>
      <c r="B47" s="27" t="s">
        <v>561</v>
      </c>
      <c r="C47" t="s">
        <v>618</v>
      </c>
      <c r="D47">
        <v>2018</v>
      </c>
      <c r="E47" t="s">
        <v>170</v>
      </c>
      <c r="F47" t="s">
        <v>428</v>
      </c>
      <c r="G47" t="s">
        <v>115</v>
      </c>
      <c r="H47" t="s">
        <v>140</v>
      </c>
      <c r="I47" t="s">
        <v>76</v>
      </c>
      <c r="J47" t="s">
        <v>623</v>
      </c>
      <c r="K47" t="s">
        <v>586</v>
      </c>
      <c r="L47">
        <v>334</v>
      </c>
      <c r="M47" t="s">
        <v>70</v>
      </c>
      <c r="N47" t="s">
        <v>573</v>
      </c>
      <c r="O47">
        <v>43</v>
      </c>
      <c r="P47">
        <v>43</v>
      </c>
      <c r="Q47">
        <v>12.87</v>
      </c>
      <c r="R47">
        <v>0</v>
      </c>
      <c r="S47" t="s">
        <v>76</v>
      </c>
      <c r="T47" t="s">
        <v>76</v>
      </c>
      <c r="V47" t="s">
        <v>75</v>
      </c>
      <c r="W47" t="s">
        <v>298</v>
      </c>
      <c r="X47" t="s">
        <v>77</v>
      </c>
      <c r="Y47" t="s">
        <v>77</v>
      </c>
      <c r="Z47" t="s">
        <v>624</v>
      </c>
      <c r="AA47" t="s">
        <v>77</v>
      </c>
      <c r="AB47" t="s">
        <v>76</v>
      </c>
      <c r="AC47" t="s">
        <v>76</v>
      </c>
      <c r="AD47" t="s">
        <v>76</v>
      </c>
      <c r="AE47" t="s">
        <v>620</v>
      </c>
      <c r="AG47" t="s">
        <v>594</v>
      </c>
      <c r="AH47" t="s">
        <v>625</v>
      </c>
      <c r="AI47" t="s">
        <v>626</v>
      </c>
      <c r="AJ47">
        <v>2016</v>
      </c>
      <c r="AK47" t="s">
        <v>156</v>
      </c>
      <c r="AL47">
        <v>99.65</v>
      </c>
      <c r="AM47">
        <v>99.7</v>
      </c>
      <c r="AN47">
        <v>100</v>
      </c>
      <c r="AO47">
        <v>100</v>
      </c>
      <c r="AP47">
        <v>100</v>
      </c>
      <c r="AQ47">
        <v>87.6</v>
      </c>
      <c r="AR47" s="47">
        <v>99.65</v>
      </c>
      <c r="AS47" s="48">
        <v>99.68</v>
      </c>
      <c r="AT47" s="48">
        <v>0</v>
      </c>
      <c r="AU47" s="48">
        <v>0</v>
      </c>
      <c r="AV47" s="49">
        <v>0.32</v>
      </c>
      <c r="AW47" s="53">
        <v>95.3</v>
      </c>
      <c r="AX47" s="48">
        <f t="shared" si="0"/>
        <v>3.6099999999999994</v>
      </c>
      <c r="AY47" s="48">
        <v>98.91</v>
      </c>
      <c r="AZ47" s="48">
        <v>0.69</v>
      </c>
      <c r="BA47" s="48">
        <v>0.4</v>
      </c>
      <c r="BB47" s="49">
        <v>0</v>
      </c>
      <c r="BC47" s="36">
        <v>14.44</v>
      </c>
      <c r="BD47" t="s">
        <v>1173</v>
      </c>
      <c r="BE47" s="36">
        <v>7.8</v>
      </c>
      <c r="BF47">
        <v>2016</v>
      </c>
      <c r="BG47" s="37" t="s">
        <v>114</v>
      </c>
      <c r="BH47" s="19" t="s">
        <v>137</v>
      </c>
      <c r="BI47" s="8">
        <v>59460.3</v>
      </c>
      <c r="BJ47" s="8" t="s">
        <v>82</v>
      </c>
      <c r="BL47" s="21">
        <v>7.36</v>
      </c>
      <c r="BM47" s="21">
        <v>2017</v>
      </c>
      <c r="BN47" s="21" t="s">
        <v>138</v>
      </c>
      <c r="BO47" s="21">
        <v>1</v>
      </c>
    </row>
    <row r="48" spans="1:67" x14ac:dyDescent="0.25">
      <c r="A48" s="71">
        <v>126</v>
      </c>
      <c r="B48" s="27" t="s">
        <v>561</v>
      </c>
      <c r="C48" t="s">
        <v>627</v>
      </c>
      <c r="D48">
        <v>2016</v>
      </c>
      <c r="E48" t="s">
        <v>158</v>
      </c>
      <c r="F48" t="s">
        <v>66</v>
      </c>
      <c r="G48" t="s">
        <v>115</v>
      </c>
      <c r="H48" t="s">
        <v>140</v>
      </c>
      <c r="I48" t="s">
        <v>76</v>
      </c>
      <c r="J48" t="s">
        <v>628</v>
      </c>
      <c r="K48" t="s">
        <v>629</v>
      </c>
      <c r="L48">
        <v>2134</v>
      </c>
      <c r="M48" t="s">
        <v>572</v>
      </c>
      <c r="N48" t="s">
        <v>573</v>
      </c>
      <c r="O48">
        <v>101</v>
      </c>
      <c r="P48">
        <v>101</v>
      </c>
      <c r="Q48">
        <v>4.7300000000000004</v>
      </c>
      <c r="R48">
        <v>0</v>
      </c>
      <c r="S48" t="s">
        <v>76</v>
      </c>
      <c r="T48" t="s">
        <v>76</v>
      </c>
      <c r="V48" t="s">
        <v>75</v>
      </c>
      <c r="W48" t="s">
        <v>298</v>
      </c>
      <c r="X48" t="s">
        <v>77</v>
      </c>
      <c r="Y48" t="s">
        <v>77</v>
      </c>
      <c r="AA48" t="s">
        <v>77</v>
      </c>
      <c r="AB48" t="s">
        <v>76</v>
      </c>
      <c r="AC48" t="s">
        <v>76</v>
      </c>
      <c r="AD48" t="s">
        <v>76</v>
      </c>
      <c r="AE48" t="s">
        <v>630</v>
      </c>
      <c r="AG48" t="s">
        <v>594</v>
      </c>
      <c r="AH48" t="s">
        <v>631</v>
      </c>
      <c r="AI48" t="s">
        <v>632</v>
      </c>
      <c r="AJ48">
        <v>2012</v>
      </c>
      <c r="AK48" t="s">
        <v>156</v>
      </c>
      <c r="AL48">
        <v>99.59</v>
      </c>
      <c r="AM48">
        <v>99.7</v>
      </c>
      <c r="AN48">
        <v>100</v>
      </c>
      <c r="AO48">
        <v>100</v>
      </c>
      <c r="AP48">
        <v>100</v>
      </c>
      <c r="AQ48">
        <v>87.34</v>
      </c>
      <c r="AR48" s="47">
        <v>99.59</v>
      </c>
      <c r="AS48" s="48">
        <v>99.65</v>
      </c>
      <c r="AT48" s="48">
        <v>0</v>
      </c>
      <c r="AU48" s="48">
        <v>0</v>
      </c>
      <c r="AV48" s="49">
        <v>0.35</v>
      </c>
      <c r="AW48" s="53">
        <v>95.2</v>
      </c>
      <c r="AX48" s="48">
        <f t="shared" si="0"/>
        <v>3.7800000000000011</v>
      </c>
      <c r="AY48" s="48">
        <v>98.98</v>
      </c>
      <c r="AZ48" s="48">
        <v>0.69</v>
      </c>
      <c r="BA48" s="48">
        <v>0.33</v>
      </c>
      <c r="BB48" s="49">
        <v>0</v>
      </c>
      <c r="BC48" s="36">
        <v>14.44</v>
      </c>
      <c r="BD48" t="s">
        <v>1173</v>
      </c>
      <c r="BE48" s="36">
        <v>7.8</v>
      </c>
      <c r="BF48">
        <v>2012</v>
      </c>
      <c r="BG48" s="37" t="s">
        <v>114</v>
      </c>
      <c r="BH48" s="19" t="s">
        <v>137</v>
      </c>
      <c r="BI48" s="8">
        <v>56353.1</v>
      </c>
      <c r="BJ48" s="8" t="s">
        <v>82</v>
      </c>
      <c r="BL48" s="21">
        <v>7.36</v>
      </c>
      <c r="BM48" s="21">
        <v>2017</v>
      </c>
      <c r="BN48" s="21" t="s">
        <v>138</v>
      </c>
      <c r="BO48" s="21">
        <v>4.5</v>
      </c>
    </row>
    <row r="49" spans="1:67" x14ac:dyDescent="0.25">
      <c r="A49" s="71">
        <v>127</v>
      </c>
      <c r="B49" s="27" t="s">
        <v>561</v>
      </c>
      <c r="C49" t="s">
        <v>633</v>
      </c>
      <c r="D49">
        <v>2017</v>
      </c>
      <c r="E49" t="s">
        <v>214</v>
      </c>
      <c r="F49" t="s">
        <v>428</v>
      </c>
      <c r="G49" t="s">
        <v>351</v>
      </c>
      <c r="H49" t="s">
        <v>634</v>
      </c>
      <c r="I49" t="s">
        <v>76</v>
      </c>
      <c r="J49" t="s">
        <v>635</v>
      </c>
      <c r="K49" t="s">
        <v>69</v>
      </c>
      <c r="L49">
        <v>640</v>
      </c>
      <c r="M49" t="s">
        <v>572</v>
      </c>
      <c r="N49" t="s">
        <v>573</v>
      </c>
      <c r="O49">
        <v>85</v>
      </c>
      <c r="P49">
        <v>85</v>
      </c>
      <c r="Q49">
        <v>13.28</v>
      </c>
      <c r="R49">
        <v>0</v>
      </c>
      <c r="S49" t="s">
        <v>76</v>
      </c>
      <c r="T49" t="s">
        <v>76</v>
      </c>
      <c r="V49" t="s">
        <v>75</v>
      </c>
      <c r="W49" t="s">
        <v>298</v>
      </c>
      <c r="X49" t="s">
        <v>77</v>
      </c>
      <c r="Y49" t="s">
        <v>77</v>
      </c>
      <c r="AA49" t="s">
        <v>77</v>
      </c>
      <c r="AB49" t="s">
        <v>76</v>
      </c>
      <c r="AC49" t="s">
        <v>76</v>
      </c>
      <c r="AD49" t="s">
        <v>76</v>
      </c>
      <c r="AE49" t="s">
        <v>636</v>
      </c>
      <c r="AG49" t="s">
        <v>594</v>
      </c>
      <c r="AH49" t="s">
        <v>637</v>
      </c>
      <c r="AI49" t="s">
        <v>638</v>
      </c>
      <c r="AJ49">
        <v>2014</v>
      </c>
      <c r="AK49" t="s">
        <v>156</v>
      </c>
      <c r="AL49">
        <v>98.9</v>
      </c>
      <c r="AM49">
        <v>100</v>
      </c>
      <c r="AN49">
        <v>100</v>
      </c>
      <c r="AO49">
        <v>100</v>
      </c>
      <c r="AP49">
        <v>100</v>
      </c>
      <c r="AQ49">
        <v>97.83</v>
      </c>
      <c r="AR49" s="47">
        <v>98.37</v>
      </c>
      <c r="AS49" s="48">
        <v>98.9</v>
      </c>
      <c r="AT49" s="48">
        <v>0</v>
      </c>
      <c r="AU49" s="48">
        <v>0</v>
      </c>
      <c r="AV49" s="49">
        <v>1.1000000000000001</v>
      </c>
      <c r="AW49" s="53">
        <v>95.2</v>
      </c>
      <c r="AX49" s="48">
        <f t="shared" si="0"/>
        <v>4.7599999999999909</v>
      </c>
      <c r="AY49" s="48">
        <v>99.96</v>
      </c>
      <c r="AZ49" s="48">
        <v>0</v>
      </c>
      <c r="BA49" s="48">
        <v>0.04</v>
      </c>
      <c r="BB49" s="49">
        <v>0</v>
      </c>
      <c r="BC49" s="36">
        <v>10.54</v>
      </c>
      <c r="BD49" t="s">
        <v>1160</v>
      </c>
      <c r="BE49" s="36">
        <v>13.7</v>
      </c>
      <c r="BF49">
        <v>2014</v>
      </c>
      <c r="BG49" s="37" t="s">
        <v>174</v>
      </c>
      <c r="BH49" s="19" t="s">
        <v>137</v>
      </c>
      <c r="BI49" s="8">
        <v>44589.3</v>
      </c>
      <c r="BJ49" s="8" t="s">
        <v>82</v>
      </c>
      <c r="BL49" s="21">
        <v>18.940000000000001</v>
      </c>
      <c r="BM49" s="21">
        <v>2016</v>
      </c>
      <c r="BN49" s="21" t="s">
        <v>138</v>
      </c>
      <c r="BO49" s="21">
        <v>2</v>
      </c>
    </row>
    <row r="50" spans="1:67" x14ac:dyDescent="0.25">
      <c r="A50" s="71">
        <v>128</v>
      </c>
      <c r="B50" s="27" t="s">
        <v>561</v>
      </c>
      <c r="C50" t="s">
        <v>639</v>
      </c>
      <c r="D50">
        <v>2016</v>
      </c>
      <c r="E50" t="s">
        <v>100</v>
      </c>
      <c r="F50" t="s">
        <v>66</v>
      </c>
      <c r="G50" t="s">
        <v>351</v>
      </c>
      <c r="H50" t="s">
        <v>140</v>
      </c>
      <c r="I50" t="s">
        <v>76</v>
      </c>
      <c r="J50" t="s">
        <v>640</v>
      </c>
      <c r="K50" t="s">
        <v>69</v>
      </c>
      <c r="L50">
        <v>2230</v>
      </c>
      <c r="M50" t="s">
        <v>70</v>
      </c>
      <c r="N50" t="s">
        <v>573</v>
      </c>
      <c r="O50">
        <v>70</v>
      </c>
      <c r="P50">
        <v>70</v>
      </c>
      <c r="Q50">
        <v>3.14</v>
      </c>
      <c r="R50">
        <v>0</v>
      </c>
      <c r="S50" t="s">
        <v>76</v>
      </c>
      <c r="T50" t="s">
        <v>76</v>
      </c>
      <c r="V50" t="s">
        <v>75</v>
      </c>
      <c r="W50" t="s">
        <v>298</v>
      </c>
      <c r="X50" t="s">
        <v>77</v>
      </c>
      <c r="Y50" t="s">
        <v>77</v>
      </c>
      <c r="AA50" t="s">
        <v>77</v>
      </c>
      <c r="AB50" t="s">
        <v>76</v>
      </c>
      <c r="AC50" t="s">
        <v>76</v>
      </c>
      <c r="AD50" t="s">
        <v>76</v>
      </c>
      <c r="AE50" t="s">
        <v>641</v>
      </c>
      <c r="AG50" t="s">
        <v>594</v>
      </c>
      <c r="AH50" t="s">
        <v>642</v>
      </c>
      <c r="AI50" t="s">
        <v>643</v>
      </c>
      <c r="AJ50">
        <v>2010</v>
      </c>
      <c r="AK50" t="s">
        <v>156</v>
      </c>
      <c r="AL50">
        <v>98.76</v>
      </c>
      <c r="AM50">
        <v>100</v>
      </c>
      <c r="AN50">
        <v>100</v>
      </c>
      <c r="AO50">
        <v>100</v>
      </c>
      <c r="AP50">
        <v>100</v>
      </c>
      <c r="AQ50">
        <v>97.61</v>
      </c>
      <c r="AR50" s="47">
        <v>98.18</v>
      </c>
      <c r="AS50" s="48">
        <v>98.76</v>
      </c>
      <c r="AT50" s="48">
        <v>0</v>
      </c>
      <c r="AU50" s="48">
        <v>0</v>
      </c>
      <c r="AV50" s="49">
        <v>1.24</v>
      </c>
      <c r="AW50" s="53">
        <v>98.6</v>
      </c>
      <c r="AX50" s="48">
        <f t="shared" si="0"/>
        <v>1.3700000000000045</v>
      </c>
      <c r="AY50" s="48">
        <v>99.97</v>
      </c>
      <c r="AZ50" s="48">
        <v>0</v>
      </c>
      <c r="BA50" s="48">
        <v>0.03</v>
      </c>
      <c r="BB50" s="49">
        <v>0</v>
      </c>
      <c r="BC50" s="36">
        <v>10.54</v>
      </c>
      <c r="BD50" t="s">
        <v>1160</v>
      </c>
      <c r="BE50" s="36">
        <v>13.7</v>
      </c>
      <c r="BF50">
        <v>2010</v>
      </c>
      <c r="BG50" s="37" t="s">
        <v>174</v>
      </c>
      <c r="BH50" s="19" t="s">
        <v>137</v>
      </c>
      <c r="BI50" s="8">
        <v>41640.699999999997</v>
      </c>
      <c r="BJ50" s="8" t="s">
        <v>82</v>
      </c>
      <c r="BL50" s="21">
        <v>18.940000000000001</v>
      </c>
      <c r="BM50" s="21">
        <v>2016</v>
      </c>
      <c r="BN50" s="21" t="s">
        <v>138</v>
      </c>
      <c r="BO50" s="21">
        <v>5.5</v>
      </c>
    </row>
    <row r="51" spans="1:67" x14ac:dyDescent="0.25">
      <c r="A51" s="71">
        <v>129</v>
      </c>
      <c r="B51" s="27" t="s">
        <v>561</v>
      </c>
      <c r="C51" t="s">
        <v>644</v>
      </c>
      <c r="D51">
        <v>2010</v>
      </c>
      <c r="E51" t="s">
        <v>645</v>
      </c>
      <c r="F51" t="s">
        <v>428</v>
      </c>
      <c r="G51" t="s">
        <v>646</v>
      </c>
      <c r="H51" t="s">
        <v>140</v>
      </c>
      <c r="I51" t="s">
        <v>76</v>
      </c>
      <c r="J51" t="s">
        <v>577</v>
      </c>
      <c r="K51" t="s">
        <v>69</v>
      </c>
      <c r="L51">
        <v>106</v>
      </c>
      <c r="M51" t="s">
        <v>70</v>
      </c>
      <c r="N51" t="s">
        <v>573</v>
      </c>
      <c r="O51">
        <v>2</v>
      </c>
      <c r="P51">
        <v>2</v>
      </c>
      <c r="Q51">
        <v>1.89</v>
      </c>
      <c r="R51">
        <v>0</v>
      </c>
      <c r="S51" t="s">
        <v>76</v>
      </c>
      <c r="T51" t="s">
        <v>76</v>
      </c>
      <c r="V51" t="s">
        <v>75</v>
      </c>
      <c r="W51" t="s">
        <v>298</v>
      </c>
      <c r="X51" t="s">
        <v>77</v>
      </c>
      <c r="Y51" t="s">
        <v>77</v>
      </c>
      <c r="AA51" t="s">
        <v>77</v>
      </c>
      <c r="AB51" t="s">
        <v>76</v>
      </c>
      <c r="AC51" t="s">
        <v>76</v>
      </c>
      <c r="AD51" t="s">
        <v>76</v>
      </c>
      <c r="AG51" t="s">
        <v>594</v>
      </c>
      <c r="AH51" t="s">
        <v>647</v>
      </c>
      <c r="AI51" s="15" t="s">
        <v>648</v>
      </c>
      <c r="AJ51">
        <v>2009</v>
      </c>
      <c r="AK51" t="s">
        <v>581</v>
      </c>
      <c r="AL51" t="s">
        <v>178</v>
      </c>
      <c r="AM51">
        <v>100</v>
      </c>
      <c r="AN51">
        <v>100</v>
      </c>
      <c r="AO51">
        <v>100</v>
      </c>
      <c r="AP51">
        <v>100</v>
      </c>
      <c r="AQ51">
        <v>95.39</v>
      </c>
      <c r="AR51" s="58">
        <v>97.41</v>
      </c>
      <c r="AS51" s="48">
        <v>99.86</v>
      </c>
      <c r="AT51" s="48">
        <v>0</v>
      </c>
      <c r="AU51" s="48">
        <v>0.04</v>
      </c>
      <c r="AV51" s="49">
        <v>0.09</v>
      </c>
      <c r="AW51" s="53">
        <v>98</v>
      </c>
      <c r="AX51" s="48">
        <f t="shared" si="0"/>
        <v>2</v>
      </c>
      <c r="AY51" s="48">
        <v>100</v>
      </c>
      <c r="AZ51" s="48">
        <v>0</v>
      </c>
      <c r="BA51" s="48">
        <v>0</v>
      </c>
      <c r="BB51" s="49">
        <v>0</v>
      </c>
      <c r="BC51" s="36">
        <v>22.45</v>
      </c>
      <c r="BD51" t="s">
        <v>1196</v>
      </c>
      <c r="BE51" s="36">
        <v>6.3</v>
      </c>
      <c r="BF51">
        <v>2009</v>
      </c>
      <c r="BG51" s="37" t="s">
        <v>649</v>
      </c>
      <c r="BH51" s="19" t="s">
        <v>137</v>
      </c>
      <c r="BI51" s="8">
        <v>52407.9</v>
      </c>
      <c r="BJ51" s="8" t="s">
        <v>82</v>
      </c>
      <c r="BK51" s="15">
        <v>2.09</v>
      </c>
      <c r="BL51" s="21">
        <v>13.29</v>
      </c>
      <c r="BM51" s="21">
        <v>2019</v>
      </c>
      <c r="BN51" s="21" t="s">
        <v>138</v>
      </c>
      <c r="BO51" s="21">
        <v>10.5</v>
      </c>
    </row>
    <row r="52" spans="1:67" x14ac:dyDescent="0.25">
      <c r="A52" s="71">
        <v>130</v>
      </c>
      <c r="B52" s="27" t="s">
        <v>561</v>
      </c>
      <c r="C52" t="s">
        <v>650</v>
      </c>
      <c r="D52">
        <v>2017</v>
      </c>
      <c r="E52" t="s">
        <v>214</v>
      </c>
      <c r="F52" t="s">
        <v>428</v>
      </c>
      <c r="G52" t="s">
        <v>351</v>
      </c>
      <c r="H52" t="s">
        <v>651</v>
      </c>
      <c r="I52" t="s">
        <v>76</v>
      </c>
      <c r="J52" t="s">
        <v>652</v>
      </c>
      <c r="K52" t="s">
        <v>69</v>
      </c>
      <c r="L52">
        <v>379</v>
      </c>
      <c r="M52" t="s">
        <v>572</v>
      </c>
      <c r="N52" t="s">
        <v>573</v>
      </c>
      <c r="O52">
        <v>22</v>
      </c>
      <c r="P52">
        <v>22</v>
      </c>
      <c r="Q52">
        <v>5.8</v>
      </c>
      <c r="R52">
        <v>0</v>
      </c>
      <c r="S52" t="s">
        <v>76</v>
      </c>
      <c r="T52" t="s">
        <v>76</v>
      </c>
      <c r="V52" t="s">
        <v>75</v>
      </c>
      <c r="W52" t="s">
        <v>298</v>
      </c>
      <c r="X52" t="s">
        <v>77</v>
      </c>
      <c r="Y52" t="s">
        <v>77</v>
      </c>
      <c r="AA52" t="s">
        <v>77</v>
      </c>
      <c r="AB52" t="s">
        <v>76</v>
      </c>
      <c r="AC52" t="s">
        <v>76</v>
      </c>
      <c r="AD52" t="s">
        <v>76</v>
      </c>
      <c r="AE52" t="s">
        <v>653</v>
      </c>
      <c r="AG52" t="s">
        <v>594</v>
      </c>
      <c r="AH52" t="s">
        <v>654</v>
      </c>
      <c r="AI52" t="s">
        <v>655</v>
      </c>
      <c r="AJ52">
        <v>2014</v>
      </c>
      <c r="AK52" t="s">
        <v>156</v>
      </c>
      <c r="AL52">
        <v>98.9</v>
      </c>
      <c r="AM52">
        <v>100</v>
      </c>
      <c r="AN52">
        <v>100</v>
      </c>
      <c r="AO52">
        <v>100</v>
      </c>
      <c r="AP52">
        <v>100</v>
      </c>
      <c r="AQ52">
        <v>97.83</v>
      </c>
      <c r="AR52" s="47">
        <v>98.37</v>
      </c>
      <c r="AS52" s="48">
        <v>98.9</v>
      </c>
      <c r="AT52" s="48">
        <v>0</v>
      </c>
      <c r="AU52" s="48">
        <v>0</v>
      </c>
      <c r="AV52" s="49">
        <v>1.1000000000000001</v>
      </c>
      <c r="AW52" s="53">
        <v>94.5</v>
      </c>
      <c r="AX52" s="48">
        <f t="shared" si="0"/>
        <v>5.4599999999999937</v>
      </c>
      <c r="AY52" s="48">
        <v>99.96</v>
      </c>
      <c r="AZ52" s="48">
        <v>0</v>
      </c>
      <c r="BA52" s="48">
        <v>0.04</v>
      </c>
      <c r="BB52" s="49">
        <v>0</v>
      </c>
      <c r="BC52" s="36">
        <v>10.54</v>
      </c>
      <c r="BD52" t="s">
        <v>1160</v>
      </c>
      <c r="BE52" s="36">
        <v>13.7</v>
      </c>
      <c r="BF52">
        <v>2014</v>
      </c>
      <c r="BG52" s="37" t="s">
        <v>174</v>
      </c>
      <c r="BH52" s="19" t="s">
        <v>137</v>
      </c>
      <c r="BI52" s="8">
        <v>44589.3</v>
      </c>
      <c r="BJ52" s="8" t="s">
        <v>82</v>
      </c>
      <c r="BL52" s="21">
        <v>18.940000000000001</v>
      </c>
      <c r="BM52" s="21">
        <v>2016</v>
      </c>
      <c r="BN52" s="21" t="s">
        <v>138</v>
      </c>
      <c r="BO52" s="21">
        <v>2</v>
      </c>
    </row>
    <row r="53" spans="1:67" x14ac:dyDescent="0.25">
      <c r="A53" s="71">
        <v>131</v>
      </c>
      <c r="B53" s="27" t="s">
        <v>561</v>
      </c>
      <c r="C53" t="s">
        <v>656</v>
      </c>
      <c r="D53">
        <v>2018</v>
      </c>
      <c r="E53" t="s">
        <v>471</v>
      </c>
      <c r="F53" t="s">
        <v>66</v>
      </c>
      <c r="G53" t="s">
        <v>351</v>
      </c>
      <c r="H53" t="s">
        <v>657</v>
      </c>
      <c r="I53" t="s">
        <v>76</v>
      </c>
      <c r="J53" t="s">
        <v>635</v>
      </c>
      <c r="K53" t="s">
        <v>69</v>
      </c>
      <c r="L53">
        <v>263</v>
      </c>
      <c r="M53" t="s">
        <v>572</v>
      </c>
      <c r="N53" t="s">
        <v>573</v>
      </c>
      <c r="O53">
        <v>31</v>
      </c>
      <c r="P53">
        <v>31</v>
      </c>
      <c r="Q53">
        <v>11.79</v>
      </c>
      <c r="R53">
        <v>0</v>
      </c>
      <c r="S53" t="s">
        <v>76</v>
      </c>
      <c r="T53" t="s">
        <v>76</v>
      </c>
      <c r="V53" t="s">
        <v>75</v>
      </c>
      <c r="W53" t="s">
        <v>298</v>
      </c>
      <c r="X53" t="s">
        <v>77</v>
      </c>
      <c r="Y53" t="s">
        <v>77</v>
      </c>
      <c r="AA53" t="s">
        <v>77</v>
      </c>
      <c r="AB53" t="s">
        <v>76</v>
      </c>
      <c r="AC53" t="s">
        <v>76</v>
      </c>
      <c r="AD53" t="s">
        <v>76</v>
      </c>
      <c r="AG53" t="s">
        <v>594</v>
      </c>
      <c r="AI53" t="s">
        <v>658</v>
      </c>
      <c r="AJ53">
        <v>2017</v>
      </c>
      <c r="AK53" t="s">
        <v>156</v>
      </c>
      <c r="AL53">
        <v>98.97</v>
      </c>
      <c r="AM53">
        <v>100</v>
      </c>
      <c r="AN53">
        <v>100</v>
      </c>
      <c r="AO53">
        <v>100</v>
      </c>
      <c r="AP53">
        <v>100</v>
      </c>
      <c r="AQ53">
        <v>97.94</v>
      </c>
      <c r="AR53" s="47">
        <v>98.46</v>
      </c>
      <c r="AS53" s="48">
        <v>98.97</v>
      </c>
      <c r="AT53" s="48">
        <v>0</v>
      </c>
      <c r="AU53" s="48">
        <v>0</v>
      </c>
      <c r="AV53" s="49">
        <v>1.03</v>
      </c>
      <c r="AW53" s="53">
        <v>98.6</v>
      </c>
      <c r="AX53" s="48">
        <f t="shared" si="0"/>
        <v>1.3599999999999994</v>
      </c>
      <c r="AY53" s="48">
        <v>99.96</v>
      </c>
      <c r="AZ53" s="48">
        <v>0</v>
      </c>
      <c r="BA53" s="48">
        <v>0.04</v>
      </c>
      <c r="BB53" s="49">
        <v>0</v>
      </c>
      <c r="BC53" s="36">
        <v>10.54</v>
      </c>
      <c r="BD53" t="s">
        <v>1160</v>
      </c>
      <c r="BE53" s="36">
        <v>13.7</v>
      </c>
      <c r="BF53">
        <v>2017</v>
      </c>
      <c r="BG53" s="37" t="s">
        <v>174</v>
      </c>
      <c r="BH53" s="19" t="s">
        <v>137</v>
      </c>
      <c r="BI53" s="8">
        <v>45693.4</v>
      </c>
      <c r="BJ53" s="8" t="s">
        <v>82</v>
      </c>
      <c r="BL53" s="21">
        <v>19.62</v>
      </c>
      <c r="BM53" s="21">
        <v>2017</v>
      </c>
      <c r="BN53" s="21" t="s">
        <v>138</v>
      </c>
      <c r="BO53" s="21">
        <v>0</v>
      </c>
    </row>
    <row r="54" spans="1:67" x14ac:dyDescent="0.25">
      <c r="A54" s="71">
        <v>132</v>
      </c>
      <c r="B54" s="27" t="s">
        <v>561</v>
      </c>
      <c r="C54" t="s">
        <v>659</v>
      </c>
      <c r="D54">
        <v>2016</v>
      </c>
      <c r="E54" t="s">
        <v>271</v>
      </c>
      <c r="F54" t="s">
        <v>428</v>
      </c>
      <c r="G54" t="s">
        <v>351</v>
      </c>
      <c r="H54" t="s">
        <v>140</v>
      </c>
      <c r="I54" t="s">
        <v>76</v>
      </c>
      <c r="J54" t="s">
        <v>660</v>
      </c>
      <c r="K54" t="s">
        <v>629</v>
      </c>
      <c r="L54">
        <v>496</v>
      </c>
      <c r="M54" t="s">
        <v>70</v>
      </c>
      <c r="N54" t="s">
        <v>573</v>
      </c>
      <c r="O54">
        <v>42</v>
      </c>
      <c r="P54">
        <v>42</v>
      </c>
      <c r="Q54">
        <v>8.4700000000000006</v>
      </c>
      <c r="R54">
        <v>0</v>
      </c>
      <c r="S54" t="s">
        <v>76</v>
      </c>
      <c r="T54" t="s">
        <v>76</v>
      </c>
      <c r="V54" t="s">
        <v>75</v>
      </c>
      <c r="W54" t="s">
        <v>298</v>
      </c>
      <c r="X54" t="s">
        <v>77</v>
      </c>
      <c r="Y54" t="s">
        <v>77</v>
      </c>
      <c r="AA54" t="s">
        <v>77</v>
      </c>
      <c r="AB54" t="s">
        <v>76</v>
      </c>
      <c r="AC54" t="s">
        <v>76</v>
      </c>
      <c r="AD54" t="s">
        <v>76</v>
      </c>
      <c r="AE54" t="s">
        <v>620</v>
      </c>
      <c r="AG54" t="s">
        <v>594</v>
      </c>
      <c r="AI54" t="s">
        <v>661</v>
      </c>
      <c r="AJ54">
        <v>2011</v>
      </c>
      <c r="AK54" t="s">
        <v>156</v>
      </c>
      <c r="AL54">
        <v>98.8</v>
      </c>
      <c r="AM54">
        <v>100</v>
      </c>
      <c r="AN54">
        <v>100</v>
      </c>
      <c r="AO54">
        <v>100</v>
      </c>
      <c r="AP54">
        <v>100</v>
      </c>
      <c r="AQ54">
        <v>97.66</v>
      </c>
      <c r="AR54" s="47">
        <v>98.23</v>
      </c>
      <c r="AS54" s="48">
        <v>98.8</v>
      </c>
      <c r="AT54" s="48">
        <v>0</v>
      </c>
      <c r="AU54" s="48">
        <v>0</v>
      </c>
      <c r="AV54" s="49">
        <v>1.2</v>
      </c>
      <c r="AW54" s="53">
        <v>98.8</v>
      </c>
      <c r="AX54" s="48">
        <f t="shared" si="0"/>
        <v>1.1700000000000017</v>
      </c>
      <c r="AY54" s="48">
        <v>99.97</v>
      </c>
      <c r="AZ54" s="48">
        <v>0</v>
      </c>
      <c r="BA54" s="48">
        <v>0.03</v>
      </c>
      <c r="BB54" s="49">
        <v>0</v>
      </c>
      <c r="BC54" s="36">
        <v>10.54</v>
      </c>
      <c r="BD54" t="s">
        <v>1160</v>
      </c>
      <c r="BE54" s="36">
        <v>13.7</v>
      </c>
      <c r="BF54">
        <v>2011</v>
      </c>
      <c r="BG54" s="37" t="s">
        <v>174</v>
      </c>
      <c r="BH54" s="19" t="s">
        <v>137</v>
      </c>
      <c r="BI54" s="8">
        <v>42394.9</v>
      </c>
      <c r="BJ54" s="8" t="s">
        <v>82</v>
      </c>
      <c r="BL54" s="21">
        <v>18.940000000000001</v>
      </c>
      <c r="BM54" s="21">
        <v>2016</v>
      </c>
      <c r="BN54" s="21" t="s">
        <v>138</v>
      </c>
      <c r="BO54" s="21">
        <v>4.5</v>
      </c>
    </row>
    <row r="55" spans="1:67" x14ac:dyDescent="0.25">
      <c r="A55" s="71">
        <v>133</v>
      </c>
      <c r="B55" s="27" t="s">
        <v>561</v>
      </c>
      <c r="C55" t="s">
        <v>662</v>
      </c>
      <c r="D55">
        <v>2019</v>
      </c>
      <c r="E55" t="s">
        <v>289</v>
      </c>
      <c r="F55" t="s">
        <v>66</v>
      </c>
      <c r="G55" t="s">
        <v>663</v>
      </c>
      <c r="H55" t="s">
        <v>140</v>
      </c>
      <c r="I55" t="s">
        <v>68</v>
      </c>
      <c r="J55" t="s">
        <v>577</v>
      </c>
      <c r="K55" t="s">
        <v>69</v>
      </c>
      <c r="L55">
        <v>305</v>
      </c>
      <c r="M55" t="s">
        <v>572</v>
      </c>
      <c r="N55" t="s">
        <v>573</v>
      </c>
      <c r="O55">
        <v>71</v>
      </c>
      <c r="P55">
        <v>71</v>
      </c>
      <c r="Q55">
        <v>23.28</v>
      </c>
      <c r="R55">
        <v>0</v>
      </c>
      <c r="S55" t="s">
        <v>76</v>
      </c>
      <c r="T55" t="s">
        <v>76</v>
      </c>
      <c r="V55" t="s">
        <v>75</v>
      </c>
      <c r="W55" t="s">
        <v>298</v>
      </c>
      <c r="X55" t="s">
        <v>77</v>
      </c>
      <c r="Y55" t="s">
        <v>77</v>
      </c>
      <c r="AA55" t="s">
        <v>77</v>
      </c>
      <c r="AB55" t="s">
        <v>76</v>
      </c>
      <c r="AC55" t="s">
        <v>76</v>
      </c>
      <c r="AD55" t="s">
        <v>76</v>
      </c>
      <c r="AE55" t="s">
        <v>664</v>
      </c>
      <c r="AG55" t="s">
        <v>594</v>
      </c>
      <c r="AH55" t="s">
        <v>665</v>
      </c>
      <c r="AI55" t="s">
        <v>666</v>
      </c>
      <c r="AJ55">
        <v>2017</v>
      </c>
      <c r="AK55" t="s">
        <v>156</v>
      </c>
      <c r="AL55">
        <v>100</v>
      </c>
      <c r="AM55">
        <v>100</v>
      </c>
      <c r="AN55">
        <v>100</v>
      </c>
      <c r="AO55">
        <v>100</v>
      </c>
      <c r="AP55">
        <v>100</v>
      </c>
      <c r="AQ55">
        <v>100</v>
      </c>
      <c r="AR55" s="47">
        <v>100</v>
      </c>
      <c r="AS55" s="48">
        <v>100</v>
      </c>
      <c r="AT55" s="48">
        <v>0</v>
      </c>
      <c r="AU55" s="48">
        <v>0</v>
      </c>
      <c r="AV55" s="49">
        <v>0</v>
      </c>
      <c r="AW55" s="47">
        <v>100</v>
      </c>
      <c r="AX55" s="48">
        <f t="shared" si="0"/>
        <v>0</v>
      </c>
      <c r="AY55" s="48">
        <v>100</v>
      </c>
      <c r="AZ55" s="48">
        <v>0</v>
      </c>
      <c r="BA55" s="48">
        <v>0</v>
      </c>
      <c r="BB55" s="49">
        <v>0</v>
      </c>
      <c r="BC55" s="36">
        <v>18.11</v>
      </c>
      <c r="BD55" t="s">
        <v>1174</v>
      </c>
      <c r="BE55" s="36">
        <v>9.6999999999999993</v>
      </c>
      <c r="BF55">
        <v>2017</v>
      </c>
      <c r="BG55" s="37" t="s">
        <v>247</v>
      </c>
      <c r="BH55" s="19" t="s">
        <v>137</v>
      </c>
      <c r="BI55" s="8">
        <v>117493</v>
      </c>
      <c r="BJ55" s="8" t="s">
        <v>82</v>
      </c>
      <c r="BL55" s="21">
        <v>28.69</v>
      </c>
      <c r="BM55" s="21">
        <v>2019</v>
      </c>
      <c r="BN55" s="21" t="s">
        <v>138</v>
      </c>
      <c r="BO55" s="21">
        <v>2.5</v>
      </c>
    </row>
    <row r="56" spans="1:67" x14ac:dyDescent="0.25">
      <c r="A56" s="71">
        <v>134</v>
      </c>
      <c r="B56" s="27" t="s">
        <v>561</v>
      </c>
      <c r="C56" t="s">
        <v>667</v>
      </c>
      <c r="D56">
        <v>2018</v>
      </c>
      <c r="E56" t="s">
        <v>117</v>
      </c>
      <c r="F56" t="s">
        <v>66</v>
      </c>
      <c r="G56" t="s">
        <v>172</v>
      </c>
      <c r="H56" t="s">
        <v>140</v>
      </c>
      <c r="I56" t="s">
        <v>76</v>
      </c>
      <c r="J56" t="s">
        <v>577</v>
      </c>
      <c r="K56" t="s">
        <v>69</v>
      </c>
      <c r="L56">
        <v>109</v>
      </c>
      <c r="M56" t="s">
        <v>572</v>
      </c>
      <c r="N56" t="s">
        <v>573</v>
      </c>
      <c r="O56">
        <v>20</v>
      </c>
      <c r="P56">
        <v>20</v>
      </c>
      <c r="Q56">
        <v>18.350000000000001</v>
      </c>
      <c r="R56">
        <v>0</v>
      </c>
      <c r="S56" t="s">
        <v>76</v>
      </c>
      <c r="T56" t="s">
        <v>76</v>
      </c>
      <c r="V56" t="s">
        <v>75</v>
      </c>
      <c r="W56" t="s">
        <v>298</v>
      </c>
      <c r="X56" t="s">
        <v>77</v>
      </c>
      <c r="Y56" t="s">
        <v>77</v>
      </c>
      <c r="AA56" t="s">
        <v>77</v>
      </c>
      <c r="AB56" t="s">
        <v>76</v>
      </c>
      <c r="AC56" t="s">
        <v>76</v>
      </c>
      <c r="AD56" t="s">
        <v>76</v>
      </c>
      <c r="AG56" t="s">
        <v>594</v>
      </c>
      <c r="AI56" t="s">
        <v>668</v>
      </c>
      <c r="AJ56">
        <v>2014</v>
      </c>
      <c r="AK56" t="s">
        <v>156</v>
      </c>
      <c r="AL56">
        <v>98.43</v>
      </c>
      <c r="AM56">
        <v>100</v>
      </c>
      <c r="AN56">
        <v>100</v>
      </c>
      <c r="AO56">
        <v>100</v>
      </c>
      <c r="AP56">
        <v>100</v>
      </c>
      <c r="AQ56">
        <v>97.46</v>
      </c>
      <c r="AR56" s="47">
        <v>98.4</v>
      </c>
      <c r="AS56" s="48">
        <v>99.34</v>
      </c>
      <c r="AT56" s="48">
        <v>0</v>
      </c>
      <c r="AU56" s="48">
        <v>0</v>
      </c>
      <c r="AV56" s="49">
        <v>0.66</v>
      </c>
      <c r="AW56" s="53">
        <v>95.2</v>
      </c>
      <c r="AX56" s="48">
        <f t="shared" si="0"/>
        <v>4.6899999999999977</v>
      </c>
      <c r="AY56" s="48">
        <v>99.89</v>
      </c>
      <c r="AZ56" s="48">
        <v>0</v>
      </c>
      <c r="BA56" s="48">
        <v>0.11</v>
      </c>
      <c r="BB56" s="49">
        <v>0</v>
      </c>
      <c r="BC56" s="36">
        <v>24.33</v>
      </c>
      <c r="BD56" t="s">
        <v>1175</v>
      </c>
      <c r="BE56" s="36">
        <v>4</v>
      </c>
      <c r="BF56">
        <v>2014</v>
      </c>
      <c r="BG56" s="37" t="s">
        <v>174</v>
      </c>
      <c r="BH56" s="19" t="s">
        <v>137</v>
      </c>
      <c r="BI56" s="8">
        <v>43806.9</v>
      </c>
      <c r="BJ56" s="8" t="s">
        <v>82</v>
      </c>
      <c r="BL56" s="21">
        <v>35.33</v>
      </c>
      <c r="BM56" s="21">
        <v>2016</v>
      </c>
      <c r="BN56" s="21" t="s">
        <v>138</v>
      </c>
      <c r="BO56" s="21">
        <v>2</v>
      </c>
    </row>
    <row r="57" spans="1:67" x14ac:dyDescent="0.25">
      <c r="A57" s="71">
        <v>135</v>
      </c>
      <c r="B57" s="27" t="s">
        <v>561</v>
      </c>
      <c r="C57" t="s">
        <v>669</v>
      </c>
      <c r="D57">
        <v>2019</v>
      </c>
      <c r="E57" t="s">
        <v>289</v>
      </c>
      <c r="F57" t="s">
        <v>66</v>
      </c>
      <c r="G57" t="s">
        <v>332</v>
      </c>
      <c r="H57" t="s">
        <v>140</v>
      </c>
      <c r="I57" t="s">
        <v>76</v>
      </c>
      <c r="J57" t="s">
        <v>670</v>
      </c>
      <c r="K57" t="s">
        <v>69</v>
      </c>
      <c r="L57">
        <v>724</v>
      </c>
      <c r="M57" t="s">
        <v>572</v>
      </c>
      <c r="N57" t="s">
        <v>573</v>
      </c>
      <c r="O57">
        <v>14</v>
      </c>
      <c r="P57">
        <v>14</v>
      </c>
      <c r="Q57">
        <v>1.93</v>
      </c>
      <c r="R57">
        <v>0</v>
      </c>
      <c r="S57" t="s">
        <v>76</v>
      </c>
      <c r="T57" t="s">
        <v>76</v>
      </c>
      <c r="V57" t="s">
        <v>75</v>
      </c>
      <c r="W57" t="s">
        <v>298</v>
      </c>
      <c r="X57" t="s">
        <v>77</v>
      </c>
      <c r="Y57" t="s">
        <v>77</v>
      </c>
      <c r="AA57" t="s">
        <v>77</v>
      </c>
      <c r="AB57" t="s">
        <v>76</v>
      </c>
      <c r="AC57" t="s">
        <v>76</v>
      </c>
      <c r="AD57" t="s">
        <v>76</v>
      </c>
      <c r="AG57" t="s">
        <v>594</v>
      </c>
      <c r="AI57" t="s">
        <v>671</v>
      </c>
      <c r="AJ57">
        <v>2017</v>
      </c>
      <c r="AK57" t="s">
        <v>156</v>
      </c>
      <c r="AL57">
        <v>100</v>
      </c>
      <c r="AM57">
        <v>100</v>
      </c>
      <c r="AN57">
        <v>100</v>
      </c>
      <c r="AO57">
        <v>100</v>
      </c>
      <c r="AP57">
        <v>100</v>
      </c>
      <c r="AQ57">
        <v>100</v>
      </c>
      <c r="AR57" s="47" t="s">
        <v>76</v>
      </c>
      <c r="AS57" s="48" t="s">
        <v>76</v>
      </c>
      <c r="AT57" s="48" t="s">
        <v>76</v>
      </c>
      <c r="AU57" s="48" t="s">
        <v>76</v>
      </c>
      <c r="AV57" s="49" t="s">
        <v>76</v>
      </c>
      <c r="AW57" s="47" t="s">
        <v>76</v>
      </c>
      <c r="AX57" s="48" t="s">
        <v>76</v>
      </c>
      <c r="AY57" s="48" t="s">
        <v>76</v>
      </c>
      <c r="AZ57" s="48" t="s">
        <v>76</v>
      </c>
      <c r="BA57" s="48" t="s">
        <v>76</v>
      </c>
      <c r="BB57" s="49" t="s">
        <v>76</v>
      </c>
      <c r="BC57" s="36">
        <v>20.309999999999999</v>
      </c>
      <c r="BD57" t="s">
        <v>1176</v>
      </c>
      <c r="BE57" s="36">
        <v>7.3</v>
      </c>
      <c r="BF57">
        <v>2017</v>
      </c>
      <c r="BG57" s="37" t="s">
        <v>174</v>
      </c>
      <c r="BH57" s="19" t="s">
        <v>137</v>
      </c>
      <c r="BI57" s="12">
        <v>25102.1</v>
      </c>
      <c r="BJ57" s="12" t="s">
        <v>672</v>
      </c>
      <c r="BL57" s="22"/>
      <c r="BM57" s="22"/>
      <c r="BN57" s="22" t="s">
        <v>260</v>
      </c>
      <c r="BO57" s="22"/>
    </row>
    <row r="58" spans="1:67" x14ac:dyDescent="0.25">
      <c r="A58" s="71">
        <v>136</v>
      </c>
      <c r="B58" s="27" t="s">
        <v>561</v>
      </c>
      <c r="C58" t="s">
        <v>331</v>
      </c>
      <c r="D58">
        <v>2020</v>
      </c>
      <c r="E58" t="s">
        <v>234</v>
      </c>
      <c r="F58" t="s">
        <v>66</v>
      </c>
      <c r="G58" t="s">
        <v>332</v>
      </c>
      <c r="H58" t="s">
        <v>140</v>
      </c>
      <c r="I58" t="s">
        <v>76</v>
      </c>
      <c r="J58" t="s">
        <v>673</v>
      </c>
      <c r="K58" t="s">
        <v>586</v>
      </c>
      <c r="L58">
        <v>187</v>
      </c>
      <c r="M58" t="s">
        <v>70</v>
      </c>
      <c r="N58" t="s">
        <v>573</v>
      </c>
      <c r="O58">
        <v>74</v>
      </c>
      <c r="P58">
        <v>74</v>
      </c>
      <c r="Q58">
        <v>39.57</v>
      </c>
      <c r="R58">
        <v>0</v>
      </c>
      <c r="S58" t="s">
        <v>76</v>
      </c>
      <c r="T58" t="s">
        <v>76</v>
      </c>
      <c r="V58" t="s">
        <v>75</v>
      </c>
      <c r="W58" t="s">
        <v>298</v>
      </c>
      <c r="X58" t="s">
        <v>77</v>
      </c>
      <c r="Y58" t="s">
        <v>77</v>
      </c>
      <c r="AA58" t="s">
        <v>77</v>
      </c>
      <c r="AB58" t="s">
        <v>76</v>
      </c>
      <c r="AC58" t="s">
        <v>76</v>
      </c>
      <c r="AD58" t="s">
        <v>76</v>
      </c>
      <c r="AE58" t="s">
        <v>113</v>
      </c>
      <c r="AG58" t="s">
        <v>674</v>
      </c>
      <c r="AH58" t="s">
        <v>675</v>
      </c>
      <c r="AI58" t="s">
        <v>676</v>
      </c>
      <c r="AJ58">
        <v>2018</v>
      </c>
      <c r="AK58" t="s">
        <v>156</v>
      </c>
      <c r="AL58">
        <v>100</v>
      </c>
      <c r="AM58">
        <v>100</v>
      </c>
      <c r="AN58">
        <v>100</v>
      </c>
      <c r="AO58">
        <v>100</v>
      </c>
      <c r="AP58">
        <v>100</v>
      </c>
      <c r="AQ58">
        <v>100</v>
      </c>
      <c r="AR58" s="47" t="s">
        <v>76</v>
      </c>
      <c r="AS58" s="48" t="s">
        <v>76</v>
      </c>
      <c r="AT58" s="48" t="s">
        <v>76</v>
      </c>
      <c r="AU58" s="48" t="s">
        <v>76</v>
      </c>
      <c r="AV58" s="49" t="s">
        <v>76</v>
      </c>
      <c r="AW58" s="47" t="s">
        <v>76</v>
      </c>
      <c r="AX58" s="48" t="s">
        <v>76</v>
      </c>
      <c r="AY58" s="48" t="s">
        <v>76</v>
      </c>
      <c r="AZ58" s="48" t="s">
        <v>76</v>
      </c>
      <c r="BA58" s="48" t="s">
        <v>76</v>
      </c>
      <c r="BB58" s="49" t="s">
        <v>76</v>
      </c>
      <c r="BC58" s="36">
        <v>20.309999999999999</v>
      </c>
      <c r="BD58" t="s">
        <v>1176</v>
      </c>
      <c r="BE58" s="36">
        <v>7.3</v>
      </c>
      <c r="BF58">
        <v>2018</v>
      </c>
      <c r="BG58" s="37" t="s">
        <v>174</v>
      </c>
      <c r="BH58" s="19" t="s">
        <v>137</v>
      </c>
      <c r="BI58" s="12">
        <v>25888.799999999999</v>
      </c>
      <c r="BJ58" s="12" t="s">
        <v>677</v>
      </c>
      <c r="BL58" s="22"/>
      <c r="BM58" s="22"/>
      <c r="BN58" s="22" t="s">
        <v>260</v>
      </c>
      <c r="BO58" s="22"/>
    </row>
    <row r="59" spans="1:67" x14ac:dyDescent="0.25">
      <c r="A59" s="71">
        <v>137</v>
      </c>
      <c r="B59" s="27" t="s">
        <v>561</v>
      </c>
      <c r="C59" t="s">
        <v>678</v>
      </c>
      <c r="D59">
        <v>2021</v>
      </c>
      <c r="E59" t="s">
        <v>243</v>
      </c>
      <c r="F59" t="s">
        <v>428</v>
      </c>
      <c r="G59" t="s">
        <v>663</v>
      </c>
      <c r="H59" t="s">
        <v>140</v>
      </c>
      <c r="I59" t="s">
        <v>68</v>
      </c>
      <c r="J59" t="s">
        <v>679</v>
      </c>
      <c r="K59" t="s">
        <v>69</v>
      </c>
      <c r="L59">
        <v>109</v>
      </c>
      <c r="M59" t="s">
        <v>70</v>
      </c>
      <c r="N59" t="s">
        <v>573</v>
      </c>
      <c r="O59">
        <v>28</v>
      </c>
      <c r="P59">
        <v>28</v>
      </c>
      <c r="Q59">
        <v>25.69</v>
      </c>
      <c r="R59">
        <v>0</v>
      </c>
      <c r="S59" t="s">
        <v>76</v>
      </c>
      <c r="T59" t="s">
        <v>76</v>
      </c>
      <c r="V59" t="s">
        <v>75</v>
      </c>
      <c r="W59" t="s">
        <v>298</v>
      </c>
      <c r="X59" t="s">
        <v>77</v>
      </c>
      <c r="Y59" t="s">
        <v>77</v>
      </c>
      <c r="AA59" t="s">
        <v>77</v>
      </c>
      <c r="AB59" t="s">
        <v>76</v>
      </c>
      <c r="AC59" t="s">
        <v>76</v>
      </c>
      <c r="AD59" t="s">
        <v>76</v>
      </c>
      <c r="AG59" t="s">
        <v>680</v>
      </c>
      <c r="AH59" t="s">
        <v>681</v>
      </c>
      <c r="AI59" t="s">
        <v>682</v>
      </c>
      <c r="AJ59">
        <v>2018</v>
      </c>
      <c r="AK59" t="s">
        <v>156</v>
      </c>
      <c r="AL59">
        <v>100</v>
      </c>
      <c r="AM59">
        <v>100</v>
      </c>
      <c r="AN59">
        <v>100</v>
      </c>
      <c r="AO59">
        <v>100</v>
      </c>
      <c r="AP59">
        <v>100</v>
      </c>
      <c r="AQ59">
        <v>100</v>
      </c>
      <c r="AR59" s="47">
        <v>100</v>
      </c>
      <c r="AS59" s="48">
        <v>100</v>
      </c>
      <c r="AT59" s="48">
        <v>0</v>
      </c>
      <c r="AU59" s="48">
        <v>0</v>
      </c>
      <c r="AV59" s="49">
        <v>0</v>
      </c>
      <c r="AW59" s="47">
        <v>100</v>
      </c>
      <c r="AX59" s="48">
        <f t="shared" si="0"/>
        <v>0</v>
      </c>
      <c r="AY59" s="48">
        <v>100</v>
      </c>
      <c r="AZ59" s="48">
        <v>0</v>
      </c>
      <c r="BA59" s="48">
        <v>0</v>
      </c>
      <c r="BB59" s="49">
        <v>0</v>
      </c>
      <c r="BC59" s="36">
        <v>18.11</v>
      </c>
      <c r="BD59" t="s">
        <v>1174</v>
      </c>
      <c r="BE59" s="36">
        <v>9.6999999999999993</v>
      </c>
      <c r="BF59">
        <v>2018</v>
      </c>
      <c r="BG59" s="37" t="s">
        <v>247</v>
      </c>
      <c r="BH59" s="19" t="s">
        <v>137</v>
      </c>
      <c r="BI59" s="8">
        <v>120668.9</v>
      </c>
      <c r="BJ59" s="8" t="s">
        <v>82</v>
      </c>
      <c r="BL59" s="21">
        <v>28.69</v>
      </c>
      <c r="BM59" s="21">
        <v>2019</v>
      </c>
      <c r="BN59" s="21" t="s">
        <v>138</v>
      </c>
      <c r="BO59" s="21">
        <v>1</v>
      </c>
    </row>
    <row r="60" spans="1:67" x14ac:dyDescent="0.25">
      <c r="A60" s="71">
        <v>138</v>
      </c>
      <c r="B60" s="27" t="s">
        <v>561</v>
      </c>
      <c r="C60" t="s">
        <v>683</v>
      </c>
      <c r="D60">
        <v>2009</v>
      </c>
      <c r="E60" t="s">
        <v>85</v>
      </c>
      <c r="F60" t="s">
        <v>66</v>
      </c>
      <c r="G60" t="s">
        <v>684</v>
      </c>
      <c r="H60" t="s">
        <v>140</v>
      </c>
      <c r="I60" t="s">
        <v>76</v>
      </c>
      <c r="J60" t="s">
        <v>685</v>
      </c>
      <c r="K60" t="s">
        <v>69</v>
      </c>
      <c r="L60">
        <v>505</v>
      </c>
      <c r="M60" t="s">
        <v>572</v>
      </c>
      <c r="N60" t="s">
        <v>573</v>
      </c>
      <c r="O60">
        <v>62</v>
      </c>
      <c r="P60">
        <v>62</v>
      </c>
      <c r="Q60">
        <v>12.28</v>
      </c>
      <c r="R60">
        <v>0</v>
      </c>
      <c r="S60" t="s">
        <v>76</v>
      </c>
      <c r="T60" t="s">
        <v>76</v>
      </c>
      <c r="U60" t="s">
        <v>128</v>
      </c>
      <c r="V60" t="s">
        <v>75</v>
      </c>
      <c r="W60" t="s">
        <v>298</v>
      </c>
      <c r="X60" t="s">
        <v>77</v>
      </c>
      <c r="Y60" t="s">
        <v>77</v>
      </c>
      <c r="AA60" t="s">
        <v>77</v>
      </c>
      <c r="AB60" t="s">
        <v>76</v>
      </c>
      <c r="AC60" t="s">
        <v>76</v>
      </c>
      <c r="AD60" t="s">
        <v>76</v>
      </c>
      <c r="AG60" t="s">
        <v>686</v>
      </c>
      <c r="AH60" t="s">
        <v>687</v>
      </c>
      <c r="AI60" s="15" t="s">
        <v>688</v>
      </c>
      <c r="AJ60">
        <v>2007</v>
      </c>
      <c r="AK60" t="s">
        <v>581</v>
      </c>
      <c r="AL60" t="s">
        <v>178</v>
      </c>
      <c r="AM60">
        <v>100</v>
      </c>
      <c r="AN60">
        <v>100</v>
      </c>
      <c r="AO60">
        <v>100</v>
      </c>
      <c r="AP60">
        <v>100</v>
      </c>
      <c r="AQ60">
        <v>89.34</v>
      </c>
      <c r="AR60" s="58">
        <v>91.02</v>
      </c>
      <c r="AS60" s="48">
        <v>99.07</v>
      </c>
      <c r="AT60" s="48">
        <v>0.65</v>
      </c>
      <c r="AU60" s="48">
        <v>0.04</v>
      </c>
      <c r="AV60" s="49">
        <v>0.25</v>
      </c>
      <c r="AW60" s="53">
        <v>84.51</v>
      </c>
      <c r="AX60" s="48">
        <f t="shared" si="0"/>
        <v>13.059999999999988</v>
      </c>
      <c r="AY60" s="48">
        <v>97.57</v>
      </c>
      <c r="AZ60" s="48">
        <v>2.2000000000000002</v>
      </c>
      <c r="BA60" s="48">
        <v>0.1</v>
      </c>
      <c r="BB60" s="49">
        <v>0.14000000000000001</v>
      </c>
      <c r="BC60" s="36">
        <v>22.34</v>
      </c>
      <c r="BD60" t="s">
        <v>1179</v>
      </c>
      <c r="BE60" s="36">
        <v>4.8</v>
      </c>
      <c r="BF60">
        <v>2007</v>
      </c>
      <c r="BG60" s="37" t="s">
        <v>374</v>
      </c>
      <c r="BH60" s="19" t="s">
        <v>137</v>
      </c>
      <c r="BI60" s="8">
        <v>53318.400000000001</v>
      </c>
      <c r="BJ60" s="8" t="s">
        <v>82</v>
      </c>
      <c r="BK60" s="15">
        <v>5.59</v>
      </c>
      <c r="BL60" s="21">
        <v>50.85</v>
      </c>
      <c r="BM60" s="21">
        <v>2017</v>
      </c>
      <c r="BN60" s="21" t="s">
        <v>138</v>
      </c>
      <c r="BO60" s="21">
        <v>10.5</v>
      </c>
    </row>
    <row r="61" spans="1:67" x14ac:dyDescent="0.25">
      <c r="A61" s="71">
        <v>139</v>
      </c>
      <c r="B61" s="27" t="s">
        <v>561</v>
      </c>
      <c r="C61" t="s">
        <v>689</v>
      </c>
      <c r="D61">
        <v>2015</v>
      </c>
      <c r="E61" t="s">
        <v>158</v>
      </c>
      <c r="F61" t="s">
        <v>66</v>
      </c>
      <c r="G61" t="s">
        <v>684</v>
      </c>
      <c r="H61" t="s">
        <v>140</v>
      </c>
      <c r="I61" t="s">
        <v>76</v>
      </c>
      <c r="J61" t="s">
        <v>685</v>
      </c>
      <c r="K61" t="s">
        <v>69</v>
      </c>
      <c r="L61">
        <v>150</v>
      </c>
      <c r="M61" t="s">
        <v>572</v>
      </c>
      <c r="N61" t="s">
        <v>573</v>
      </c>
      <c r="O61">
        <v>22</v>
      </c>
      <c r="P61">
        <v>22</v>
      </c>
      <c r="Q61">
        <v>14.67</v>
      </c>
      <c r="R61">
        <v>0</v>
      </c>
      <c r="S61" t="s">
        <v>76</v>
      </c>
      <c r="T61" t="s">
        <v>76</v>
      </c>
      <c r="V61" t="s">
        <v>75</v>
      </c>
      <c r="W61" t="s">
        <v>298</v>
      </c>
      <c r="X61" t="s">
        <v>77</v>
      </c>
      <c r="Y61" t="s">
        <v>77</v>
      </c>
      <c r="AA61" t="s">
        <v>77</v>
      </c>
      <c r="AB61" t="s">
        <v>76</v>
      </c>
      <c r="AC61" t="s">
        <v>76</v>
      </c>
      <c r="AD61" t="s">
        <v>76</v>
      </c>
      <c r="AG61" t="s">
        <v>594</v>
      </c>
      <c r="AI61" s="15" t="s">
        <v>690</v>
      </c>
      <c r="AJ61">
        <v>2013</v>
      </c>
      <c r="AK61" t="s">
        <v>581</v>
      </c>
      <c r="AL61" t="s">
        <v>178</v>
      </c>
      <c r="AM61">
        <v>100</v>
      </c>
      <c r="AN61">
        <v>100</v>
      </c>
      <c r="AO61">
        <v>100</v>
      </c>
      <c r="AP61">
        <v>100</v>
      </c>
      <c r="AQ61">
        <v>89.34</v>
      </c>
      <c r="AR61" s="58">
        <v>92.52</v>
      </c>
      <c r="AS61" s="48">
        <v>99.06</v>
      </c>
      <c r="AT61" s="48">
        <v>0.66</v>
      </c>
      <c r="AU61" s="48">
        <v>0.03</v>
      </c>
      <c r="AV61" s="49">
        <v>0.25</v>
      </c>
      <c r="AW61" s="53">
        <v>84.51</v>
      </c>
      <c r="AX61" s="48">
        <f t="shared" si="0"/>
        <v>13.059999999999988</v>
      </c>
      <c r="AY61" s="48">
        <v>97.57</v>
      </c>
      <c r="AZ61" s="48">
        <v>2.2000000000000002</v>
      </c>
      <c r="BA61" s="48">
        <v>0.1</v>
      </c>
      <c r="BB61" s="49">
        <v>0.14000000000000001</v>
      </c>
      <c r="BC61" s="36">
        <v>22.34</v>
      </c>
      <c r="BD61" t="s">
        <v>1179</v>
      </c>
      <c r="BE61" s="36">
        <v>4.8</v>
      </c>
      <c r="BF61">
        <v>2013</v>
      </c>
      <c r="BG61" s="37" t="s">
        <v>374</v>
      </c>
      <c r="BH61" s="19" t="s">
        <v>137</v>
      </c>
      <c r="BI61" s="8">
        <v>57998.5</v>
      </c>
      <c r="BJ61" s="8" t="s">
        <v>82</v>
      </c>
      <c r="BK61" s="15">
        <v>4.04</v>
      </c>
      <c r="BL61" s="21">
        <v>50.85</v>
      </c>
      <c r="BM61" s="21">
        <v>2017</v>
      </c>
      <c r="BN61" s="21" t="s">
        <v>138</v>
      </c>
      <c r="BO61" s="21">
        <v>4.5</v>
      </c>
    </row>
    <row r="62" spans="1:67" x14ac:dyDescent="0.25">
      <c r="A62" s="71">
        <v>140</v>
      </c>
      <c r="B62" s="27" t="s">
        <v>691</v>
      </c>
      <c r="C62" t="s">
        <v>430</v>
      </c>
      <c r="D62">
        <v>2009</v>
      </c>
      <c r="E62" t="s">
        <v>76</v>
      </c>
      <c r="F62" t="s">
        <v>66</v>
      </c>
      <c r="G62" t="s">
        <v>692</v>
      </c>
      <c r="H62" t="s">
        <v>693</v>
      </c>
      <c r="I62" t="s">
        <v>123</v>
      </c>
      <c r="J62" t="s">
        <v>694</v>
      </c>
      <c r="K62" t="s">
        <v>586</v>
      </c>
      <c r="L62">
        <v>20</v>
      </c>
      <c r="M62" t="s">
        <v>70</v>
      </c>
      <c r="N62" t="s">
        <v>573</v>
      </c>
      <c r="O62">
        <v>2</v>
      </c>
      <c r="P62">
        <v>2</v>
      </c>
      <c r="Q62">
        <v>10</v>
      </c>
      <c r="R62">
        <v>0</v>
      </c>
      <c r="S62" t="s">
        <v>76</v>
      </c>
      <c r="T62" t="s">
        <v>76</v>
      </c>
      <c r="U62" s="9" t="s">
        <v>128</v>
      </c>
      <c r="V62" t="s">
        <v>75</v>
      </c>
      <c r="W62" t="s">
        <v>76</v>
      </c>
      <c r="X62" t="s">
        <v>77</v>
      </c>
      <c r="Y62" t="s">
        <v>77</v>
      </c>
      <c r="AA62" t="s">
        <v>77</v>
      </c>
      <c r="AB62" t="s">
        <v>76</v>
      </c>
      <c r="AC62" t="s">
        <v>76</v>
      </c>
      <c r="AD62" t="s">
        <v>76</v>
      </c>
      <c r="AG62" t="s">
        <v>695</v>
      </c>
      <c r="AH62" t="s">
        <v>696</v>
      </c>
      <c r="AI62" s="12" t="s">
        <v>697</v>
      </c>
      <c r="AJ62" s="12">
        <v>2009</v>
      </c>
      <c r="AK62" s="12" t="s">
        <v>212</v>
      </c>
      <c r="AL62" t="s">
        <v>178</v>
      </c>
      <c r="AM62">
        <v>62</v>
      </c>
      <c r="AN62">
        <v>35</v>
      </c>
      <c r="AO62">
        <v>35</v>
      </c>
      <c r="AP62">
        <v>35</v>
      </c>
      <c r="AQ62" t="s">
        <v>178</v>
      </c>
      <c r="AR62" s="57">
        <v>9.49</v>
      </c>
      <c r="AS62" s="51">
        <v>54.72</v>
      </c>
      <c r="AT62" s="51">
        <v>6.48</v>
      </c>
      <c r="AU62" s="51">
        <v>1.43</v>
      </c>
      <c r="AV62" s="52">
        <v>37.36</v>
      </c>
      <c r="AW62" s="53">
        <v>17.4819</v>
      </c>
      <c r="AX62" s="48">
        <f t="shared" si="0"/>
        <v>14.938100000000002</v>
      </c>
      <c r="AY62" s="51">
        <v>32.42</v>
      </c>
      <c r="AZ62" s="51">
        <v>7.96</v>
      </c>
      <c r="BA62" s="51">
        <v>30.89</v>
      </c>
      <c r="BB62" s="52">
        <v>28.73</v>
      </c>
      <c r="BC62" s="42">
        <v>4.5999999999999996</v>
      </c>
      <c r="BD62" s="2" t="s">
        <v>1204</v>
      </c>
      <c r="BE62" s="36">
        <v>43.7</v>
      </c>
      <c r="BF62">
        <v>2009</v>
      </c>
      <c r="BG62" s="37" t="s">
        <v>182</v>
      </c>
      <c r="BH62" s="19" t="s">
        <v>137</v>
      </c>
      <c r="BI62" s="8">
        <v>3371.5</v>
      </c>
      <c r="BJ62" s="8" t="s">
        <v>82</v>
      </c>
      <c r="BL62" s="22"/>
      <c r="BM62" s="22"/>
      <c r="BN62" s="22" t="s">
        <v>260</v>
      </c>
      <c r="BO62" s="22"/>
    </row>
    <row r="63" spans="1:67" x14ac:dyDescent="0.25">
      <c r="A63" s="71">
        <v>141</v>
      </c>
      <c r="B63" s="27" t="s">
        <v>691</v>
      </c>
      <c r="C63" t="s">
        <v>175</v>
      </c>
      <c r="D63">
        <v>2012</v>
      </c>
      <c r="E63" t="s">
        <v>698</v>
      </c>
      <c r="F63" t="s">
        <v>66</v>
      </c>
      <c r="G63" t="s">
        <v>176</v>
      </c>
      <c r="H63" t="s">
        <v>699</v>
      </c>
      <c r="I63" t="s">
        <v>68</v>
      </c>
      <c r="J63" t="s">
        <v>700</v>
      </c>
      <c r="K63" t="s">
        <v>69</v>
      </c>
      <c r="L63">
        <v>150</v>
      </c>
      <c r="M63" t="s">
        <v>70</v>
      </c>
      <c r="N63" t="s">
        <v>573</v>
      </c>
      <c r="O63">
        <v>10</v>
      </c>
      <c r="P63">
        <v>9</v>
      </c>
      <c r="Q63" t="s">
        <v>465</v>
      </c>
      <c r="R63">
        <v>0</v>
      </c>
      <c r="S63" t="s">
        <v>76</v>
      </c>
      <c r="T63" t="s">
        <v>76</v>
      </c>
      <c r="U63" s="9" t="s">
        <v>128</v>
      </c>
      <c r="V63" t="s">
        <v>75</v>
      </c>
      <c r="W63" t="s">
        <v>298</v>
      </c>
      <c r="X63" t="s">
        <v>77</v>
      </c>
      <c r="Y63" t="s">
        <v>77</v>
      </c>
      <c r="AA63" t="s">
        <v>77</v>
      </c>
      <c r="AB63" t="s">
        <v>76</v>
      </c>
      <c r="AC63" t="s">
        <v>76</v>
      </c>
      <c r="AD63" t="s">
        <v>76</v>
      </c>
      <c r="AG63" t="s">
        <v>701</v>
      </c>
      <c r="AH63" s="1" t="s">
        <v>702</v>
      </c>
      <c r="AI63" s="15" t="s">
        <v>703</v>
      </c>
      <c r="AJ63">
        <v>2009</v>
      </c>
      <c r="AK63" t="s">
        <v>156</v>
      </c>
      <c r="AL63" t="s">
        <v>178</v>
      </c>
      <c r="AM63">
        <v>30.1</v>
      </c>
      <c r="AN63">
        <v>43.9</v>
      </c>
      <c r="AO63">
        <v>84.8</v>
      </c>
      <c r="AP63">
        <v>43.9</v>
      </c>
      <c r="AQ63">
        <v>64.94</v>
      </c>
      <c r="AR63" s="58">
        <v>45.95</v>
      </c>
      <c r="AS63" s="48">
        <v>82.22</v>
      </c>
      <c r="AT63" s="48">
        <v>9.25</v>
      </c>
      <c r="AU63" s="48">
        <v>0.99</v>
      </c>
      <c r="AV63" s="49">
        <v>7.53</v>
      </c>
      <c r="AW63" s="60">
        <f>0.81*AY63</f>
        <v>45.667800000000007</v>
      </c>
      <c r="AX63" s="48">
        <f t="shared" si="0"/>
        <v>10.712199999999996</v>
      </c>
      <c r="AY63" s="48">
        <v>56.38</v>
      </c>
      <c r="AZ63" s="48">
        <v>27.59</v>
      </c>
      <c r="BA63" s="48">
        <v>15.02</v>
      </c>
      <c r="BB63" s="49">
        <v>1.01</v>
      </c>
      <c r="BC63" s="43">
        <v>4.4000000000000004</v>
      </c>
      <c r="BD63" s="2" t="s">
        <v>1203</v>
      </c>
      <c r="BE63" s="36">
        <v>17.100000000000001</v>
      </c>
      <c r="BF63">
        <v>2009</v>
      </c>
      <c r="BG63" s="37" t="s">
        <v>171</v>
      </c>
      <c r="BH63" s="19" t="s">
        <v>137</v>
      </c>
      <c r="BI63" s="8">
        <v>4286.6000000000004</v>
      </c>
      <c r="BJ63" s="8" t="s">
        <v>82</v>
      </c>
      <c r="BK63" s="15">
        <v>16.420000000000002</v>
      </c>
      <c r="BL63" s="21">
        <v>70</v>
      </c>
      <c r="BM63" s="21">
        <v>2021</v>
      </c>
      <c r="BN63" s="21" t="s">
        <v>138</v>
      </c>
      <c r="BO63" s="21">
        <v>12</v>
      </c>
    </row>
    <row r="64" spans="1:67" x14ac:dyDescent="0.25">
      <c r="A64" s="71">
        <v>142</v>
      </c>
      <c r="B64" s="27" t="s">
        <v>691</v>
      </c>
      <c r="C64" t="s">
        <v>704</v>
      </c>
      <c r="D64">
        <v>2012</v>
      </c>
      <c r="E64" t="s">
        <v>698</v>
      </c>
      <c r="F64" t="s">
        <v>66</v>
      </c>
      <c r="G64" t="s">
        <v>422</v>
      </c>
      <c r="H64" t="s">
        <v>140</v>
      </c>
      <c r="I64" t="s">
        <v>76</v>
      </c>
      <c r="J64" t="s">
        <v>705</v>
      </c>
      <c r="K64" t="s">
        <v>69</v>
      </c>
      <c r="L64">
        <v>23</v>
      </c>
      <c r="M64" t="s">
        <v>90</v>
      </c>
      <c r="N64" t="s">
        <v>573</v>
      </c>
      <c r="O64">
        <v>4</v>
      </c>
      <c r="P64">
        <v>4</v>
      </c>
      <c r="Q64">
        <v>17</v>
      </c>
      <c r="R64">
        <v>0</v>
      </c>
      <c r="S64" t="s">
        <v>76</v>
      </c>
      <c r="T64" t="s">
        <v>76</v>
      </c>
      <c r="U64" s="9" t="s">
        <v>128</v>
      </c>
      <c r="V64" t="s">
        <v>75</v>
      </c>
      <c r="W64" t="s">
        <v>76</v>
      </c>
      <c r="X64" t="s">
        <v>77</v>
      </c>
      <c r="Y64" t="s">
        <v>77</v>
      </c>
      <c r="AA64" t="s">
        <v>77</v>
      </c>
      <c r="AB64" t="s">
        <v>76</v>
      </c>
      <c r="AC64" t="s">
        <v>76</v>
      </c>
      <c r="AD64" t="s">
        <v>76</v>
      </c>
      <c r="AG64" t="s">
        <v>706</v>
      </c>
      <c r="AH64" t="s">
        <v>707</v>
      </c>
      <c r="AI64" s="15" t="s">
        <v>708</v>
      </c>
      <c r="AJ64">
        <v>2009</v>
      </c>
      <c r="AK64" t="s">
        <v>156</v>
      </c>
      <c r="AL64" t="s">
        <v>178</v>
      </c>
      <c r="AM64">
        <v>61.8</v>
      </c>
      <c r="AN64">
        <v>37.1</v>
      </c>
      <c r="AO64">
        <v>84.5</v>
      </c>
      <c r="AP64">
        <v>37.1</v>
      </c>
      <c r="AQ64">
        <v>32.630000000000003</v>
      </c>
      <c r="AR64" s="58">
        <v>11.79</v>
      </c>
      <c r="AS64" s="48">
        <v>53.1</v>
      </c>
      <c r="AT64" s="48">
        <v>7.66</v>
      </c>
      <c r="AU64" s="48">
        <v>26.01</v>
      </c>
      <c r="AV64" s="49">
        <v>13.24</v>
      </c>
      <c r="AW64" s="53">
        <v>26.1</v>
      </c>
      <c r="AX64" s="48">
        <f t="shared" si="0"/>
        <v>3.9799999999999969</v>
      </c>
      <c r="AY64" s="48">
        <v>30.08</v>
      </c>
      <c r="AZ64" s="48">
        <v>20.75</v>
      </c>
      <c r="BA64" s="48">
        <v>36.549999999999997</v>
      </c>
      <c r="BB64" s="49">
        <v>12.62</v>
      </c>
      <c r="BC64" s="42">
        <v>17.3</v>
      </c>
      <c r="BD64" s="2" t="s">
        <v>1208</v>
      </c>
      <c r="BE64" s="36">
        <v>13.8</v>
      </c>
      <c r="BF64">
        <v>2009</v>
      </c>
      <c r="BG64" s="37" t="s">
        <v>187</v>
      </c>
      <c r="BH64" s="19" t="s">
        <v>137</v>
      </c>
      <c r="BI64" s="8">
        <v>4012.2</v>
      </c>
      <c r="BJ64" s="8" t="s">
        <v>82</v>
      </c>
      <c r="BK64" s="15">
        <v>6.73</v>
      </c>
      <c r="BL64" s="21">
        <v>78.05</v>
      </c>
      <c r="BM64" s="21">
        <v>2021</v>
      </c>
      <c r="BN64" s="21" t="s">
        <v>138</v>
      </c>
      <c r="BO64" s="21">
        <v>12</v>
      </c>
    </row>
    <row r="65" spans="1:67" x14ac:dyDescent="0.25">
      <c r="A65" s="71">
        <v>143</v>
      </c>
      <c r="B65" s="27" t="s">
        <v>691</v>
      </c>
      <c r="C65" t="s">
        <v>709</v>
      </c>
      <c r="D65">
        <v>2015</v>
      </c>
      <c r="E65" t="s">
        <v>139</v>
      </c>
      <c r="F65" t="s">
        <v>66</v>
      </c>
      <c r="G65" t="s">
        <v>710</v>
      </c>
      <c r="H65" t="s">
        <v>140</v>
      </c>
      <c r="I65" t="s">
        <v>629</v>
      </c>
      <c r="J65" s="2" t="s">
        <v>711</v>
      </c>
      <c r="K65" t="s">
        <v>69</v>
      </c>
      <c r="L65">
        <v>356</v>
      </c>
      <c r="M65" t="s">
        <v>70</v>
      </c>
      <c r="N65" t="s">
        <v>573</v>
      </c>
      <c r="O65">
        <v>66</v>
      </c>
      <c r="P65">
        <v>46</v>
      </c>
      <c r="Q65" t="s">
        <v>712</v>
      </c>
      <c r="R65">
        <v>1</v>
      </c>
      <c r="S65" t="s">
        <v>76</v>
      </c>
      <c r="T65" t="s">
        <v>76</v>
      </c>
      <c r="U65" t="s">
        <v>128</v>
      </c>
      <c r="V65" t="s">
        <v>75</v>
      </c>
      <c r="W65" t="s">
        <v>298</v>
      </c>
      <c r="X65" t="s">
        <v>77</v>
      </c>
      <c r="Y65" t="s">
        <v>77</v>
      </c>
      <c r="Z65" t="s">
        <v>713</v>
      </c>
      <c r="AA65" t="s">
        <v>205</v>
      </c>
      <c r="AB65" t="s">
        <v>714</v>
      </c>
      <c r="AC65" t="s">
        <v>76</v>
      </c>
      <c r="AD65" t="s">
        <v>76</v>
      </c>
      <c r="AE65" t="s">
        <v>715</v>
      </c>
      <c r="AF65" t="s">
        <v>716</v>
      </c>
      <c r="AG65" t="s">
        <v>717</v>
      </c>
      <c r="AH65" s="1" t="s">
        <v>718</v>
      </c>
      <c r="AI65" t="s">
        <v>719</v>
      </c>
      <c r="AJ65">
        <v>2013</v>
      </c>
      <c r="AK65" t="s">
        <v>156</v>
      </c>
      <c r="AL65">
        <v>23.47</v>
      </c>
      <c r="AM65">
        <v>37.5</v>
      </c>
      <c r="AN65">
        <v>35.799999999999997</v>
      </c>
      <c r="AO65">
        <v>85.3</v>
      </c>
      <c r="AP65">
        <v>35.799999999999997</v>
      </c>
      <c r="AQ65">
        <v>31.77</v>
      </c>
      <c r="AR65" s="47">
        <v>16.309999999999999</v>
      </c>
      <c r="AS65" s="48">
        <v>47.45</v>
      </c>
      <c r="AT65" s="48">
        <v>3.53</v>
      </c>
      <c r="AU65" s="48">
        <v>20.62</v>
      </c>
      <c r="AV65" s="49">
        <v>28.4</v>
      </c>
      <c r="AW65" s="53">
        <v>8.9274791870281494</v>
      </c>
      <c r="AX65" s="48">
        <f t="shared" si="0"/>
        <v>1.6625208129718505</v>
      </c>
      <c r="AY65" s="48">
        <v>10.59</v>
      </c>
      <c r="AZ65" s="48">
        <v>15.74</v>
      </c>
      <c r="BA65" s="48">
        <v>39.51</v>
      </c>
      <c r="BB65" s="49">
        <v>34.17</v>
      </c>
      <c r="BC65" s="42">
        <v>6.4</v>
      </c>
      <c r="BD65" t="s">
        <v>1199</v>
      </c>
      <c r="BE65" s="36">
        <v>15.6</v>
      </c>
      <c r="BF65">
        <v>2013</v>
      </c>
      <c r="BG65" s="37" t="s">
        <v>187</v>
      </c>
      <c r="BH65" s="19" t="s">
        <v>137</v>
      </c>
      <c r="BI65" s="8">
        <v>1620.4</v>
      </c>
      <c r="BJ65" s="8" t="s">
        <v>82</v>
      </c>
      <c r="BL65" s="21">
        <v>33.33</v>
      </c>
      <c r="BM65" s="21">
        <v>2018</v>
      </c>
      <c r="BN65" s="21" t="s">
        <v>138</v>
      </c>
      <c r="BO65" s="21">
        <v>4.5</v>
      </c>
    </row>
    <row r="66" spans="1:67" x14ac:dyDescent="0.25">
      <c r="A66" s="71">
        <v>144</v>
      </c>
      <c r="B66" s="27" t="s">
        <v>691</v>
      </c>
      <c r="C66" t="s">
        <v>720</v>
      </c>
      <c r="D66">
        <v>2016</v>
      </c>
      <c r="E66" t="s">
        <v>250</v>
      </c>
      <c r="F66" t="s">
        <v>66</v>
      </c>
      <c r="G66" t="s">
        <v>721</v>
      </c>
      <c r="H66" t="s">
        <v>140</v>
      </c>
      <c r="I66" t="s">
        <v>76</v>
      </c>
      <c r="J66" t="s">
        <v>722</v>
      </c>
      <c r="K66" t="s">
        <v>69</v>
      </c>
      <c r="L66">
        <v>18</v>
      </c>
      <c r="M66" t="s">
        <v>70</v>
      </c>
      <c r="N66" t="s">
        <v>573</v>
      </c>
      <c r="O66">
        <v>4</v>
      </c>
      <c r="P66">
        <v>4</v>
      </c>
      <c r="Q66">
        <v>22</v>
      </c>
      <c r="R66">
        <v>0</v>
      </c>
      <c r="S66" t="s">
        <v>76</v>
      </c>
      <c r="T66" t="s">
        <v>76</v>
      </c>
      <c r="U66" s="9" t="s">
        <v>128</v>
      </c>
      <c r="V66" t="s">
        <v>75</v>
      </c>
      <c r="W66" t="s">
        <v>298</v>
      </c>
      <c r="X66" t="s">
        <v>77</v>
      </c>
      <c r="Y66" t="s">
        <v>77</v>
      </c>
      <c r="AA66" t="s">
        <v>77</v>
      </c>
      <c r="AB66" t="s">
        <v>76</v>
      </c>
      <c r="AC66" t="s">
        <v>76</v>
      </c>
      <c r="AD66" t="s">
        <v>76</v>
      </c>
      <c r="AG66" t="s">
        <v>723</v>
      </c>
      <c r="AH66" t="s">
        <v>724</v>
      </c>
      <c r="AI66" s="15" t="s">
        <v>725</v>
      </c>
      <c r="AJ66">
        <v>2013</v>
      </c>
      <c r="AK66" t="s">
        <v>581</v>
      </c>
      <c r="AL66" t="s">
        <v>178</v>
      </c>
      <c r="AM66">
        <v>32</v>
      </c>
      <c r="AN66">
        <v>40</v>
      </c>
      <c r="AO66">
        <v>40</v>
      </c>
      <c r="AP66">
        <v>40</v>
      </c>
      <c r="AQ66">
        <v>34.21</v>
      </c>
      <c r="AR66" s="58">
        <v>13.3</v>
      </c>
      <c r="AS66" s="48">
        <v>55.5</v>
      </c>
      <c r="AT66" s="48">
        <v>13.61</v>
      </c>
      <c r="AU66" s="48">
        <v>17.72</v>
      </c>
      <c r="AV66" s="49">
        <v>13.17</v>
      </c>
      <c r="AW66" s="60">
        <f>0.88*AY66</f>
        <v>39.538400000000003</v>
      </c>
      <c r="AX66" s="48">
        <f t="shared" si="0"/>
        <v>5.3915999999999968</v>
      </c>
      <c r="AY66" s="48">
        <v>44.93</v>
      </c>
      <c r="AZ66" s="48">
        <v>18.170000000000002</v>
      </c>
      <c r="BA66" s="48">
        <v>8.2100000000000009</v>
      </c>
      <c r="BB66" s="49">
        <v>28.7</v>
      </c>
      <c r="BC66" s="36">
        <v>10.210000000000001</v>
      </c>
      <c r="BD66" t="s">
        <v>1180</v>
      </c>
      <c r="BE66" s="36">
        <v>16</v>
      </c>
      <c r="BF66">
        <v>2013</v>
      </c>
      <c r="BG66" s="37" t="s">
        <v>171</v>
      </c>
      <c r="BH66" s="19" t="s">
        <v>137</v>
      </c>
      <c r="BI66" s="8">
        <v>11623</v>
      </c>
      <c r="BJ66" s="8" t="s">
        <v>82</v>
      </c>
      <c r="BK66" s="15">
        <v>10.77</v>
      </c>
      <c r="BL66" s="22"/>
      <c r="BM66" s="22"/>
      <c r="BN66" s="22" t="s">
        <v>260</v>
      </c>
      <c r="BO66" s="22"/>
    </row>
    <row r="67" spans="1:67" x14ac:dyDescent="0.25">
      <c r="A67" s="71">
        <v>145</v>
      </c>
      <c r="B67" s="27" t="s">
        <v>691</v>
      </c>
      <c r="C67" t="s">
        <v>183</v>
      </c>
      <c r="D67">
        <v>2016</v>
      </c>
      <c r="E67" t="s">
        <v>117</v>
      </c>
      <c r="F67" t="s">
        <v>66</v>
      </c>
      <c r="G67" t="s">
        <v>184</v>
      </c>
      <c r="H67" t="s">
        <v>140</v>
      </c>
      <c r="I67" t="s">
        <v>629</v>
      </c>
      <c r="J67" t="s">
        <v>726</v>
      </c>
      <c r="K67" t="s">
        <v>629</v>
      </c>
      <c r="L67">
        <v>334</v>
      </c>
      <c r="M67" t="s">
        <v>70</v>
      </c>
      <c r="N67" t="s">
        <v>573</v>
      </c>
      <c r="O67">
        <v>53</v>
      </c>
      <c r="P67" s="9">
        <v>37</v>
      </c>
      <c r="Q67">
        <v>16</v>
      </c>
      <c r="R67">
        <v>0</v>
      </c>
      <c r="S67" t="s">
        <v>76</v>
      </c>
      <c r="T67" t="s">
        <v>76</v>
      </c>
      <c r="U67" s="9" t="s">
        <v>128</v>
      </c>
      <c r="V67" t="s">
        <v>75</v>
      </c>
      <c r="W67" t="s">
        <v>298</v>
      </c>
      <c r="X67" t="s">
        <v>77</v>
      </c>
      <c r="Y67" t="s">
        <v>205</v>
      </c>
      <c r="Z67" t="s">
        <v>727</v>
      </c>
      <c r="AA67" t="s">
        <v>77</v>
      </c>
      <c r="AB67" t="s">
        <v>76</v>
      </c>
      <c r="AC67" t="s">
        <v>76</v>
      </c>
      <c r="AD67" t="s">
        <v>76</v>
      </c>
      <c r="AE67" t="s">
        <v>728</v>
      </c>
      <c r="AG67" t="s">
        <v>729</v>
      </c>
      <c r="AH67" t="s">
        <v>730</v>
      </c>
      <c r="AI67" t="s">
        <v>731</v>
      </c>
      <c r="AJ67">
        <v>2014</v>
      </c>
      <c r="AK67" t="s">
        <v>156</v>
      </c>
      <c r="AL67">
        <v>24.37</v>
      </c>
      <c r="AM67">
        <v>34.200000000000003</v>
      </c>
      <c r="AN67">
        <v>21.8</v>
      </c>
      <c r="AO67">
        <v>83.6</v>
      </c>
      <c r="AP67">
        <v>21.8</v>
      </c>
      <c r="AQ67">
        <v>39.590000000000003</v>
      </c>
      <c r="AR67" s="47">
        <v>19.600000000000001</v>
      </c>
      <c r="AS67" s="48">
        <v>49.13</v>
      </c>
      <c r="AT67" s="48">
        <v>11.67</v>
      </c>
      <c r="AU67" s="48">
        <v>13.29</v>
      </c>
      <c r="AV67" s="49">
        <v>25.92</v>
      </c>
      <c r="AW67" s="53">
        <v>19.0581</v>
      </c>
      <c r="AX67" s="48">
        <f t="shared" ref="AX67:AX112" si="1">AY67-AW67</f>
        <v>3.4019000000000013</v>
      </c>
      <c r="AY67" s="48">
        <v>22.46</v>
      </c>
      <c r="AZ67" s="48">
        <v>12.37</v>
      </c>
      <c r="BA67" s="48">
        <v>56.38</v>
      </c>
      <c r="BB67" s="49">
        <v>8.7799999999999994</v>
      </c>
      <c r="BC67" s="36">
        <v>21</v>
      </c>
      <c r="BD67" t="s">
        <v>1214</v>
      </c>
      <c r="BE67" s="36">
        <v>16.8</v>
      </c>
      <c r="BF67">
        <v>2014</v>
      </c>
      <c r="BG67" s="37" t="s">
        <v>187</v>
      </c>
      <c r="BH67" s="19" t="s">
        <v>137</v>
      </c>
      <c r="BI67" s="8">
        <v>3027.6</v>
      </c>
      <c r="BJ67" s="8" t="s">
        <v>82</v>
      </c>
      <c r="BL67" s="21">
        <v>75</v>
      </c>
      <c r="BM67" s="21">
        <v>2020</v>
      </c>
      <c r="BN67" s="21" t="s">
        <v>138</v>
      </c>
      <c r="BO67" s="21">
        <v>6</v>
      </c>
    </row>
    <row r="68" spans="1:67" x14ac:dyDescent="0.25">
      <c r="A68" s="71">
        <v>146</v>
      </c>
      <c r="B68" s="27" t="s">
        <v>691</v>
      </c>
      <c r="C68" t="s">
        <v>732</v>
      </c>
      <c r="D68">
        <v>2016</v>
      </c>
      <c r="E68" t="s">
        <v>250</v>
      </c>
      <c r="F68" t="s">
        <v>66</v>
      </c>
      <c r="G68" t="s">
        <v>733</v>
      </c>
      <c r="H68" t="s">
        <v>140</v>
      </c>
      <c r="I68" t="s">
        <v>68</v>
      </c>
      <c r="J68" t="s">
        <v>734</v>
      </c>
      <c r="K68" t="s">
        <v>586</v>
      </c>
      <c r="L68">
        <v>134</v>
      </c>
      <c r="M68" t="s">
        <v>70</v>
      </c>
      <c r="N68" t="s">
        <v>573</v>
      </c>
      <c r="O68">
        <v>79</v>
      </c>
      <c r="P68">
        <v>79</v>
      </c>
      <c r="Q68">
        <v>59</v>
      </c>
      <c r="R68">
        <v>0</v>
      </c>
      <c r="S68" t="s">
        <v>76</v>
      </c>
      <c r="T68" t="s">
        <v>76</v>
      </c>
      <c r="U68" s="9" t="s">
        <v>128</v>
      </c>
      <c r="V68" t="s">
        <v>75</v>
      </c>
      <c r="W68" t="s">
        <v>92</v>
      </c>
      <c r="X68" t="s">
        <v>77</v>
      </c>
      <c r="Y68" t="s">
        <v>77</v>
      </c>
      <c r="Z68" t="s">
        <v>735</v>
      </c>
      <c r="AA68" t="s">
        <v>77</v>
      </c>
      <c r="AB68" t="s">
        <v>76</v>
      </c>
      <c r="AC68" t="s">
        <v>76</v>
      </c>
      <c r="AD68" t="s">
        <v>76</v>
      </c>
      <c r="AE68" t="s">
        <v>736</v>
      </c>
      <c r="AF68" t="s">
        <v>737</v>
      </c>
      <c r="AG68" t="s">
        <v>738</v>
      </c>
      <c r="AH68" t="s">
        <v>739</v>
      </c>
      <c r="AI68" t="s">
        <v>740</v>
      </c>
      <c r="AJ68">
        <v>2013</v>
      </c>
      <c r="AK68" t="s">
        <v>581</v>
      </c>
      <c r="AL68">
        <v>40.33</v>
      </c>
      <c r="AM68">
        <v>9</v>
      </c>
      <c r="AN68">
        <v>15</v>
      </c>
      <c r="AO68">
        <v>15</v>
      </c>
      <c r="AP68">
        <v>15</v>
      </c>
      <c r="AQ68">
        <v>38.92</v>
      </c>
      <c r="AR68" s="47">
        <v>13.38</v>
      </c>
      <c r="AS68" s="48">
        <v>61.06</v>
      </c>
      <c r="AT68" s="48">
        <v>24.39</v>
      </c>
      <c r="AU68" s="48">
        <v>0.4</v>
      </c>
      <c r="AV68" s="49">
        <v>14.16</v>
      </c>
      <c r="AW68" s="53">
        <v>29.2</v>
      </c>
      <c r="AX68" s="48">
        <f t="shared" si="1"/>
        <v>1.6600000000000001</v>
      </c>
      <c r="AY68" s="48">
        <v>30.86</v>
      </c>
      <c r="AZ68" s="48">
        <v>24.92</v>
      </c>
      <c r="BA68" s="48">
        <v>38.43</v>
      </c>
      <c r="BB68" s="49">
        <v>5.79</v>
      </c>
      <c r="BC68" s="36">
        <v>6.83</v>
      </c>
      <c r="BD68" t="s">
        <v>1181</v>
      </c>
      <c r="BE68" s="36">
        <v>18.5</v>
      </c>
      <c r="BF68">
        <v>2013</v>
      </c>
      <c r="BG68" s="37" t="s">
        <v>171</v>
      </c>
      <c r="BH68" s="19" t="s">
        <v>137</v>
      </c>
      <c r="BI68" s="8">
        <v>996.9</v>
      </c>
      <c r="BJ68" s="8" t="s">
        <v>82</v>
      </c>
      <c r="BL68" s="22"/>
      <c r="BM68" s="22"/>
      <c r="BN68" s="22" t="s">
        <v>260</v>
      </c>
      <c r="BO68" s="22"/>
    </row>
    <row r="69" spans="1:67" x14ac:dyDescent="0.25">
      <c r="A69" s="71">
        <v>147</v>
      </c>
      <c r="B69" s="27" t="s">
        <v>691</v>
      </c>
      <c r="C69" t="s">
        <v>741</v>
      </c>
      <c r="D69">
        <v>2018</v>
      </c>
      <c r="E69" t="s">
        <v>170</v>
      </c>
      <c r="F69" t="s">
        <v>66</v>
      </c>
      <c r="G69" t="s">
        <v>742</v>
      </c>
      <c r="H69" t="s">
        <v>699</v>
      </c>
      <c r="I69" t="s">
        <v>68</v>
      </c>
      <c r="J69" t="s">
        <v>743</v>
      </c>
      <c r="K69" t="s">
        <v>69</v>
      </c>
      <c r="L69">
        <v>275</v>
      </c>
      <c r="M69" t="s">
        <v>70</v>
      </c>
      <c r="N69" t="s">
        <v>573</v>
      </c>
      <c r="O69">
        <v>55</v>
      </c>
      <c r="P69">
        <v>55</v>
      </c>
      <c r="Q69">
        <v>20</v>
      </c>
      <c r="R69">
        <v>0</v>
      </c>
      <c r="S69" t="s">
        <v>76</v>
      </c>
      <c r="T69" t="s">
        <v>76</v>
      </c>
      <c r="U69" s="9" t="s">
        <v>128</v>
      </c>
      <c r="V69" t="s">
        <v>75</v>
      </c>
      <c r="W69" t="s">
        <v>298</v>
      </c>
      <c r="X69" t="s">
        <v>77</v>
      </c>
      <c r="Y69" t="s">
        <v>77</v>
      </c>
      <c r="AA69" t="s">
        <v>77</v>
      </c>
      <c r="AB69" t="s">
        <v>76</v>
      </c>
      <c r="AC69" t="s">
        <v>76</v>
      </c>
      <c r="AD69" t="s">
        <v>76</v>
      </c>
      <c r="AG69" t="s">
        <v>706</v>
      </c>
      <c r="AI69" t="s">
        <v>744</v>
      </c>
      <c r="AJ69">
        <v>2016</v>
      </c>
      <c r="AK69" t="s">
        <v>581</v>
      </c>
      <c r="AL69">
        <v>43.41</v>
      </c>
      <c r="AM69">
        <v>25</v>
      </c>
      <c r="AN69">
        <v>45</v>
      </c>
      <c r="AO69">
        <v>45</v>
      </c>
      <c r="AP69">
        <v>45</v>
      </c>
      <c r="AQ69">
        <v>69.819999999999993</v>
      </c>
      <c r="AR69" s="47">
        <v>43.41</v>
      </c>
      <c r="AS69" s="48">
        <v>79.38</v>
      </c>
      <c r="AT69" s="48">
        <v>6.31</v>
      </c>
      <c r="AU69" s="48">
        <v>2.58</v>
      </c>
      <c r="AV69" s="49">
        <v>11.73</v>
      </c>
      <c r="AW69" s="53">
        <v>44</v>
      </c>
      <c r="AX69" s="48">
        <f t="shared" si="1"/>
        <v>8.4699999999999989</v>
      </c>
      <c r="AY69" s="48">
        <v>52.47</v>
      </c>
      <c r="AZ69" s="48">
        <v>9.02</v>
      </c>
      <c r="BA69" s="48">
        <v>27.58</v>
      </c>
      <c r="BB69" s="49">
        <v>10.92</v>
      </c>
      <c r="BC69" s="36">
        <v>10.54</v>
      </c>
      <c r="BD69" t="s">
        <v>1182</v>
      </c>
      <c r="BE69" s="36">
        <v>16.8</v>
      </c>
      <c r="BF69">
        <v>2016</v>
      </c>
      <c r="BG69" s="37" t="s">
        <v>187</v>
      </c>
      <c r="BH69" s="19" t="s">
        <v>137</v>
      </c>
      <c r="BI69" s="8">
        <v>1537.9</v>
      </c>
      <c r="BJ69" s="8" t="s">
        <v>82</v>
      </c>
      <c r="BL69" s="21">
        <v>28</v>
      </c>
      <c r="BM69" s="21">
        <v>2019</v>
      </c>
      <c r="BN69" s="21" t="s">
        <v>138</v>
      </c>
      <c r="BO69" s="21">
        <v>3</v>
      </c>
    </row>
    <row r="70" spans="1:67" x14ac:dyDescent="0.25">
      <c r="A70" s="71">
        <v>148</v>
      </c>
      <c r="B70" s="27" t="s">
        <v>691</v>
      </c>
      <c r="C70" t="s">
        <v>745</v>
      </c>
      <c r="D70">
        <v>2018</v>
      </c>
      <c r="E70" t="s">
        <v>432</v>
      </c>
      <c r="F70" t="s">
        <v>66</v>
      </c>
      <c r="G70" t="s">
        <v>184</v>
      </c>
      <c r="H70" t="s">
        <v>140</v>
      </c>
      <c r="I70" t="s">
        <v>629</v>
      </c>
      <c r="J70" t="s">
        <v>746</v>
      </c>
      <c r="K70" t="s">
        <v>69</v>
      </c>
      <c r="L70">
        <v>70</v>
      </c>
      <c r="M70" t="s">
        <v>70</v>
      </c>
      <c r="N70" t="s">
        <v>573</v>
      </c>
      <c r="O70">
        <v>22</v>
      </c>
      <c r="P70">
        <v>22</v>
      </c>
      <c r="Q70">
        <v>31</v>
      </c>
      <c r="R70">
        <v>0</v>
      </c>
      <c r="S70" t="s">
        <v>76</v>
      </c>
      <c r="T70" t="s">
        <v>76</v>
      </c>
      <c r="U70" s="9" t="s">
        <v>128</v>
      </c>
      <c r="V70" t="s">
        <v>75</v>
      </c>
      <c r="W70" t="s">
        <v>298</v>
      </c>
      <c r="X70" t="s">
        <v>77</v>
      </c>
      <c r="Y70" t="s">
        <v>77</v>
      </c>
      <c r="AA70" t="s">
        <v>77</v>
      </c>
      <c r="AB70" t="s">
        <v>76</v>
      </c>
      <c r="AC70" t="s">
        <v>76</v>
      </c>
      <c r="AD70" t="s">
        <v>76</v>
      </c>
      <c r="AG70" t="s">
        <v>747</v>
      </c>
      <c r="AH70" t="s">
        <v>748</v>
      </c>
      <c r="AI70" t="s">
        <v>749</v>
      </c>
      <c r="AJ70">
        <v>2012</v>
      </c>
      <c r="AK70" t="s">
        <v>156</v>
      </c>
      <c r="AL70">
        <v>23.67</v>
      </c>
      <c r="AM70">
        <v>34.200000000000003</v>
      </c>
      <c r="AN70">
        <v>21.8</v>
      </c>
      <c r="AO70">
        <v>83.6</v>
      </c>
      <c r="AP70">
        <v>21.8</v>
      </c>
      <c r="AQ70">
        <v>39</v>
      </c>
      <c r="AR70" s="47">
        <v>17.329999999999998</v>
      </c>
      <c r="AS70" s="48">
        <v>47.58</v>
      </c>
      <c r="AT70" s="48">
        <v>11.49</v>
      </c>
      <c r="AU70" s="48">
        <v>13.53</v>
      </c>
      <c r="AV70" s="49">
        <v>27.39</v>
      </c>
      <c r="AW70" s="53">
        <v>18.171710361942001</v>
      </c>
      <c r="AX70" s="48">
        <f t="shared" si="1"/>
        <v>2.8782896380579999</v>
      </c>
      <c r="AY70" s="48">
        <v>21.05</v>
      </c>
      <c r="AZ70" s="48">
        <v>11.62</v>
      </c>
      <c r="BA70" s="48">
        <v>58.34</v>
      </c>
      <c r="BB70" s="49">
        <v>8.99</v>
      </c>
      <c r="BC70" s="36">
        <v>19.600000000000001</v>
      </c>
      <c r="BD70" t="s">
        <v>1216</v>
      </c>
      <c r="BE70" s="36">
        <v>16.8</v>
      </c>
      <c r="BF70">
        <v>2012</v>
      </c>
      <c r="BG70" s="37" t="s">
        <v>187</v>
      </c>
      <c r="BH70" s="19" t="s">
        <v>137</v>
      </c>
      <c r="BI70" s="8">
        <v>2924.9</v>
      </c>
      <c r="BJ70" s="8" t="s">
        <v>82</v>
      </c>
      <c r="BL70" s="21">
        <v>75</v>
      </c>
      <c r="BM70" s="21">
        <v>2020</v>
      </c>
      <c r="BN70" s="21" t="s">
        <v>138</v>
      </c>
      <c r="BO70" s="21">
        <v>8</v>
      </c>
    </row>
    <row r="71" spans="1:67" x14ac:dyDescent="0.25">
      <c r="A71" s="71">
        <v>149</v>
      </c>
      <c r="B71" s="27" t="s">
        <v>691</v>
      </c>
      <c r="C71" t="s">
        <v>750</v>
      </c>
      <c r="D71">
        <v>2018</v>
      </c>
      <c r="E71" t="s">
        <v>136</v>
      </c>
      <c r="F71" t="s">
        <v>66</v>
      </c>
      <c r="G71" t="s">
        <v>751</v>
      </c>
      <c r="H71" t="s">
        <v>752</v>
      </c>
      <c r="I71" t="s">
        <v>629</v>
      </c>
      <c r="J71" t="s">
        <v>753</v>
      </c>
      <c r="K71" t="s">
        <v>69</v>
      </c>
      <c r="L71">
        <v>565</v>
      </c>
      <c r="M71" t="s">
        <v>70</v>
      </c>
      <c r="N71" t="s">
        <v>573</v>
      </c>
      <c r="O71">
        <v>28</v>
      </c>
      <c r="P71">
        <v>28</v>
      </c>
      <c r="Q71">
        <v>5</v>
      </c>
      <c r="R71">
        <v>0</v>
      </c>
      <c r="S71" t="s">
        <v>76</v>
      </c>
      <c r="T71" t="s">
        <v>76</v>
      </c>
      <c r="U71" s="9" t="s">
        <v>128</v>
      </c>
      <c r="V71" t="s">
        <v>75</v>
      </c>
      <c r="W71" t="s">
        <v>76</v>
      </c>
      <c r="X71" t="s">
        <v>77</v>
      </c>
      <c r="Y71" t="s">
        <v>77</v>
      </c>
      <c r="AA71" t="s">
        <v>205</v>
      </c>
      <c r="AB71" t="s">
        <v>76</v>
      </c>
      <c r="AC71" t="s">
        <v>76</v>
      </c>
      <c r="AD71" t="s">
        <v>754</v>
      </c>
      <c r="AE71" t="s">
        <v>755</v>
      </c>
      <c r="AG71" t="s">
        <v>756</v>
      </c>
      <c r="AH71" t="s">
        <v>757</v>
      </c>
      <c r="AI71" t="s">
        <v>758</v>
      </c>
      <c r="AJ71">
        <v>2015</v>
      </c>
      <c r="AK71" t="s">
        <v>581</v>
      </c>
      <c r="AL71">
        <v>53.43</v>
      </c>
      <c r="AM71">
        <v>54</v>
      </c>
      <c r="AN71">
        <v>58</v>
      </c>
      <c r="AO71">
        <v>58</v>
      </c>
      <c r="AP71">
        <v>58</v>
      </c>
      <c r="AQ71">
        <v>72.680000000000007</v>
      </c>
      <c r="AR71" s="47">
        <v>39.520000000000003</v>
      </c>
      <c r="AS71" s="48">
        <v>81.87</v>
      </c>
      <c r="AT71" s="48">
        <v>7.68</v>
      </c>
      <c r="AU71" s="48">
        <v>0.05</v>
      </c>
      <c r="AV71" s="49">
        <v>10.4</v>
      </c>
      <c r="AW71" s="53">
        <v>32.299999999999997</v>
      </c>
      <c r="AX71" s="48">
        <f t="shared" si="1"/>
        <v>14.36</v>
      </c>
      <c r="AY71" s="48">
        <v>46.66</v>
      </c>
      <c r="AZ71" s="48">
        <v>20.21</v>
      </c>
      <c r="BA71" s="48">
        <v>31.7</v>
      </c>
      <c r="BB71" s="49">
        <v>1.42</v>
      </c>
      <c r="BC71" s="36">
        <v>14.22</v>
      </c>
      <c r="BD71" t="s">
        <v>1183</v>
      </c>
      <c r="BE71" s="36">
        <v>10.8</v>
      </c>
      <c r="BF71">
        <v>2015</v>
      </c>
      <c r="BG71" s="37" t="s">
        <v>182</v>
      </c>
      <c r="BH71" s="19" t="s">
        <v>137</v>
      </c>
      <c r="BI71" s="8">
        <v>2496</v>
      </c>
      <c r="BJ71" s="8" t="s">
        <v>82</v>
      </c>
      <c r="BL71" s="22"/>
      <c r="BM71" s="22"/>
      <c r="BN71" s="22" t="s">
        <v>260</v>
      </c>
      <c r="BO71" s="22"/>
    </row>
    <row r="72" spans="1:67" x14ac:dyDescent="0.25">
      <c r="A72" s="71">
        <v>150</v>
      </c>
      <c r="B72" s="27" t="s">
        <v>561</v>
      </c>
      <c r="C72" t="s">
        <v>321</v>
      </c>
      <c r="D72">
        <v>2018</v>
      </c>
      <c r="E72" t="s">
        <v>214</v>
      </c>
      <c r="F72" t="s">
        <v>428</v>
      </c>
      <c r="G72" t="s">
        <v>759</v>
      </c>
      <c r="H72" t="s">
        <v>140</v>
      </c>
      <c r="J72" t="s">
        <v>760</v>
      </c>
      <c r="K72" t="s">
        <v>586</v>
      </c>
      <c r="L72">
        <v>519</v>
      </c>
      <c r="M72" t="s">
        <v>70</v>
      </c>
      <c r="N72" t="s">
        <v>761</v>
      </c>
      <c r="O72">
        <v>23</v>
      </c>
      <c r="Q72" t="s">
        <v>102</v>
      </c>
      <c r="U72" t="s">
        <v>128</v>
      </c>
      <c r="V72" t="s">
        <v>75</v>
      </c>
      <c r="AG72" t="s">
        <v>762</v>
      </c>
      <c r="AH72" t="s">
        <v>763</v>
      </c>
      <c r="AI72" s="8" t="s">
        <v>764</v>
      </c>
      <c r="AJ72" s="8">
        <v>2015</v>
      </c>
      <c r="AK72" s="8" t="s">
        <v>765</v>
      </c>
      <c r="AL72" s="8">
        <v>99.26</v>
      </c>
      <c r="AQ72" s="8">
        <v>98.72</v>
      </c>
      <c r="AR72" s="54">
        <v>96.37</v>
      </c>
      <c r="AS72" s="55">
        <v>99.43</v>
      </c>
      <c r="AT72" s="55">
        <v>0</v>
      </c>
      <c r="AU72" s="55">
        <v>0</v>
      </c>
      <c r="AV72" s="56">
        <v>0.56999999999999995</v>
      </c>
      <c r="AW72" s="54">
        <v>96.94</v>
      </c>
      <c r="AX72" s="48">
        <f t="shared" si="1"/>
        <v>2.8200000000000074</v>
      </c>
      <c r="AY72" s="55">
        <v>99.76</v>
      </c>
      <c r="AZ72" s="55">
        <v>0</v>
      </c>
      <c r="BA72" s="55">
        <v>0.24</v>
      </c>
      <c r="BB72" s="56">
        <v>0</v>
      </c>
      <c r="BC72" s="36">
        <v>20.239999999999998</v>
      </c>
      <c r="BD72" t="s">
        <v>1184</v>
      </c>
      <c r="BG72" s="39" t="s">
        <v>323</v>
      </c>
      <c r="BH72" s="19" t="s">
        <v>137</v>
      </c>
      <c r="BI72" s="8">
        <v>64367.7</v>
      </c>
      <c r="BJ72" s="8" t="s">
        <v>82</v>
      </c>
      <c r="BL72" s="23">
        <v>14.3</v>
      </c>
      <c r="BM72" s="23">
        <v>2022</v>
      </c>
      <c r="BN72" s="23" t="s">
        <v>569</v>
      </c>
      <c r="BO72" s="23">
        <v>8</v>
      </c>
    </row>
    <row r="73" spans="1:67" x14ac:dyDescent="0.25">
      <c r="A73" s="71">
        <v>151</v>
      </c>
      <c r="B73" s="27" t="s">
        <v>561</v>
      </c>
      <c r="C73" t="s">
        <v>97</v>
      </c>
      <c r="D73">
        <v>2014</v>
      </c>
      <c r="E73" t="s">
        <v>766</v>
      </c>
      <c r="F73" t="s">
        <v>428</v>
      </c>
      <c r="G73" t="s">
        <v>99</v>
      </c>
      <c r="H73" t="s">
        <v>140</v>
      </c>
      <c r="L73">
        <v>3344</v>
      </c>
      <c r="N73" t="s">
        <v>509</v>
      </c>
      <c r="O73">
        <v>211</v>
      </c>
      <c r="Q73" t="s">
        <v>767</v>
      </c>
      <c r="U73" t="s">
        <v>128</v>
      </c>
      <c r="V73" t="s">
        <v>75</v>
      </c>
      <c r="AH73" t="s">
        <v>768</v>
      </c>
      <c r="AI73" s="8" t="s">
        <v>769</v>
      </c>
      <c r="AJ73" s="8">
        <v>2012</v>
      </c>
      <c r="AK73" s="8" t="s">
        <v>765</v>
      </c>
      <c r="AL73" s="8">
        <v>99.89</v>
      </c>
      <c r="AQ73" s="8">
        <v>100</v>
      </c>
      <c r="AR73" s="54">
        <v>99.89</v>
      </c>
      <c r="AS73" s="55">
        <v>100</v>
      </c>
      <c r="AT73" s="55">
        <v>0</v>
      </c>
      <c r="AU73" s="55">
        <v>0</v>
      </c>
      <c r="AV73" s="56">
        <v>0</v>
      </c>
      <c r="AW73" s="54">
        <v>96.46</v>
      </c>
      <c r="AX73" s="48">
        <f t="shared" si="1"/>
        <v>2.7600000000000051</v>
      </c>
      <c r="AY73" s="55">
        <v>99.22</v>
      </c>
      <c r="AZ73" s="55">
        <v>0.78</v>
      </c>
      <c r="BA73" s="55">
        <v>0</v>
      </c>
      <c r="BB73" s="56">
        <v>0</v>
      </c>
      <c r="BC73" s="36">
        <v>17.600000000000001</v>
      </c>
      <c r="BD73" t="s">
        <v>1185</v>
      </c>
      <c r="BG73" s="39" t="s">
        <v>88</v>
      </c>
      <c r="BH73" s="19" t="s">
        <v>137</v>
      </c>
      <c r="BI73" s="8">
        <v>58110.400000000001</v>
      </c>
      <c r="BJ73" s="8" t="s">
        <v>82</v>
      </c>
      <c r="BL73" s="21">
        <v>11.56</v>
      </c>
      <c r="BM73" s="21">
        <v>2016</v>
      </c>
      <c r="BN73" s="21" t="s">
        <v>138</v>
      </c>
      <c r="BO73" s="21">
        <v>5.5</v>
      </c>
    </row>
    <row r="74" spans="1:67" x14ac:dyDescent="0.25">
      <c r="A74" s="71">
        <v>152</v>
      </c>
      <c r="B74" s="27" t="s">
        <v>561</v>
      </c>
      <c r="C74" t="s">
        <v>93</v>
      </c>
      <c r="D74">
        <v>2013</v>
      </c>
      <c r="E74" t="s">
        <v>103</v>
      </c>
      <c r="F74" t="s">
        <v>66</v>
      </c>
      <c r="G74" t="s">
        <v>86</v>
      </c>
      <c r="H74" t="s">
        <v>140</v>
      </c>
      <c r="J74" t="s">
        <v>770</v>
      </c>
      <c r="K74" t="s">
        <v>69</v>
      </c>
      <c r="L74">
        <v>345</v>
      </c>
      <c r="M74" t="s">
        <v>70</v>
      </c>
      <c r="N74" t="s">
        <v>509</v>
      </c>
      <c r="O74">
        <v>21</v>
      </c>
      <c r="P74">
        <v>21</v>
      </c>
      <c r="Q74" t="s">
        <v>111</v>
      </c>
      <c r="U74" t="s">
        <v>128</v>
      </c>
      <c r="AH74" t="s">
        <v>771</v>
      </c>
      <c r="AI74" s="8" t="s">
        <v>772</v>
      </c>
      <c r="AJ74" s="8">
        <v>2011</v>
      </c>
      <c r="AK74" s="8" t="s">
        <v>765</v>
      </c>
      <c r="AL74" s="8">
        <v>98.33</v>
      </c>
      <c r="AQ74" s="8">
        <v>100</v>
      </c>
      <c r="AR74" s="54">
        <v>98.33</v>
      </c>
      <c r="AS74" s="55">
        <v>100</v>
      </c>
      <c r="AT74" s="55">
        <v>0</v>
      </c>
      <c r="AU74" s="55">
        <v>0</v>
      </c>
      <c r="AV74" s="56">
        <v>0</v>
      </c>
      <c r="AW74" s="54">
        <v>88.69</v>
      </c>
      <c r="AX74" s="48">
        <f t="shared" si="1"/>
        <v>9.960000000000008</v>
      </c>
      <c r="AY74" s="55">
        <v>98.65</v>
      </c>
      <c r="AZ74" s="55">
        <v>1.35</v>
      </c>
      <c r="BA74" s="55">
        <v>0</v>
      </c>
      <c r="BB74" s="56">
        <v>0</v>
      </c>
      <c r="BC74" s="36">
        <v>28.13</v>
      </c>
      <c r="BD74" t="s">
        <v>1186</v>
      </c>
      <c r="BG74" s="39" t="s">
        <v>88</v>
      </c>
      <c r="BH74" s="19" t="s">
        <v>137</v>
      </c>
      <c r="BI74" s="8">
        <v>50085.7</v>
      </c>
      <c r="BJ74" s="8" t="s">
        <v>82</v>
      </c>
      <c r="BL74" s="21">
        <v>10.220000000000001</v>
      </c>
      <c r="BM74" s="21">
        <v>2017</v>
      </c>
      <c r="BN74" s="21" t="s">
        <v>138</v>
      </c>
      <c r="BO74" s="21">
        <v>6</v>
      </c>
    </row>
    <row r="75" spans="1:67" x14ac:dyDescent="0.25">
      <c r="A75" s="71">
        <v>153</v>
      </c>
      <c r="B75" s="27" t="s">
        <v>561</v>
      </c>
      <c r="C75" t="s">
        <v>84</v>
      </c>
      <c r="D75">
        <v>2008</v>
      </c>
      <c r="E75" t="s">
        <v>325</v>
      </c>
      <c r="F75" t="s">
        <v>66</v>
      </c>
      <c r="G75" t="s">
        <v>86</v>
      </c>
      <c r="H75" t="s">
        <v>140</v>
      </c>
      <c r="I75" t="s">
        <v>68</v>
      </c>
      <c r="J75" t="s">
        <v>773</v>
      </c>
      <c r="K75" t="s">
        <v>69</v>
      </c>
      <c r="L75">
        <v>322</v>
      </c>
      <c r="M75" t="s">
        <v>70</v>
      </c>
      <c r="O75">
        <v>2</v>
      </c>
      <c r="Q75" t="s">
        <v>313</v>
      </c>
      <c r="U75" t="s">
        <v>128</v>
      </c>
      <c r="V75" t="s">
        <v>75</v>
      </c>
      <c r="AG75" t="s">
        <v>756</v>
      </c>
      <c r="AH75" s="1" t="s">
        <v>774</v>
      </c>
      <c r="AI75" s="15" t="s">
        <v>775</v>
      </c>
      <c r="AJ75" s="8">
        <v>2006</v>
      </c>
      <c r="AK75" s="8" t="s">
        <v>79</v>
      </c>
      <c r="AL75" s="8">
        <v>97.51</v>
      </c>
      <c r="AQ75" s="8">
        <v>100</v>
      </c>
      <c r="AR75" s="54">
        <v>97.51</v>
      </c>
      <c r="AS75" s="55">
        <v>100</v>
      </c>
      <c r="AT75" s="55">
        <v>0</v>
      </c>
      <c r="AU75" s="55">
        <v>0</v>
      </c>
      <c r="AV75" s="56">
        <v>0</v>
      </c>
      <c r="AW75" s="57">
        <v>88.75</v>
      </c>
      <c r="AX75" s="48">
        <f t="shared" si="1"/>
        <v>9.8400000000000034</v>
      </c>
      <c r="AY75" s="55">
        <v>98.59</v>
      </c>
      <c r="AZ75" s="55">
        <v>1.41</v>
      </c>
      <c r="BA75" s="55">
        <v>0</v>
      </c>
      <c r="BB75" s="56">
        <v>0</v>
      </c>
      <c r="BC75" s="36">
        <v>25.9</v>
      </c>
      <c r="BD75" t="s">
        <v>1205</v>
      </c>
      <c r="BG75" s="39" t="s">
        <v>88</v>
      </c>
      <c r="BH75" s="19" t="s">
        <v>137</v>
      </c>
      <c r="BI75" s="8">
        <v>49223.199999999997</v>
      </c>
      <c r="BJ75" s="8" t="s">
        <v>82</v>
      </c>
      <c r="BL75" s="21">
        <v>10.220000000000001</v>
      </c>
      <c r="BM75" s="21">
        <v>2017</v>
      </c>
      <c r="BN75" s="21" t="s">
        <v>138</v>
      </c>
      <c r="BO75" s="21">
        <v>11</v>
      </c>
    </row>
    <row r="76" spans="1:67" x14ac:dyDescent="0.25">
      <c r="A76" s="71" t="s">
        <v>776</v>
      </c>
      <c r="B76" s="27" t="s">
        <v>561</v>
      </c>
      <c r="C76" t="s">
        <v>89</v>
      </c>
      <c r="D76">
        <v>2011</v>
      </c>
      <c r="E76">
        <v>1999</v>
      </c>
      <c r="F76" t="s">
        <v>428</v>
      </c>
      <c r="G76" t="s">
        <v>86</v>
      </c>
      <c r="H76" t="s">
        <v>140</v>
      </c>
      <c r="L76">
        <v>517</v>
      </c>
      <c r="M76" t="s">
        <v>70</v>
      </c>
      <c r="N76" t="s">
        <v>573</v>
      </c>
      <c r="O76">
        <v>11</v>
      </c>
      <c r="P76">
        <v>3</v>
      </c>
      <c r="Q76" t="s">
        <v>777</v>
      </c>
      <c r="U76" t="s">
        <v>128</v>
      </c>
      <c r="AH76" s="1" t="s">
        <v>778</v>
      </c>
      <c r="AI76" s="15" t="s">
        <v>779</v>
      </c>
      <c r="AJ76" s="12">
        <v>1999</v>
      </c>
      <c r="AK76" s="12" t="s">
        <v>765</v>
      </c>
      <c r="AL76" s="12">
        <v>97.36</v>
      </c>
      <c r="AQ76" s="12">
        <v>100</v>
      </c>
      <c r="AR76" s="57">
        <v>97.36</v>
      </c>
      <c r="AS76" s="51">
        <v>100</v>
      </c>
      <c r="AT76" s="51">
        <v>0</v>
      </c>
      <c r="AU76" s="51">
        <v>0</v>
      </c>
      <c r="AV76" s="52">
        <v>0</v>
      </c>
      <c r="AW76" s="57">
        <v>88.76</v>
      </c>
      <c r="AX76" s="48">
        <f t="shared" si="1"/>
        <v>9.8999999999999915</v>
      </c>
      <c r="AY76" s="51">
        <v>98.66</v>
      </c>
      <c r="AZ76" s="51">
        <v>1.34</v>
      </c>
      <c r="BA76" s="51">
        <v>0</v>
      </c>
      <c r="BB76" s="52">
        <v>0</v>
      </c>
      <c r="BC76" s="36">
        <v>32.1</v>
      </c>
      <c r="BD76" t="s">
        <v>1207</v>
      </c>
      <c r="BG76" s="39" t="s">
        <v>88</v>
      </c>
      <c r="BH76" s="19" t="s">
        <v>137</v>
      </c>
      <c r="BI76" s="8">
        <v>44400.1</v>
      </c>
      <c r="BJ76" s="8" t="s">
        <v>82</v>
      </c>
      <c r="BL76" s="21">
        <v>10.220000000000001</v>
      </c>
      <c r="BM76" s="21">
        <v>2017</v>
      </c>
      <c r="BN76" s="21" t="s">
        <v>138</v>
      </c>
      <c r="BO76" s="21">
        <v>18</v>
      </c>
    </row>
    <row r="77" spans="1:67" x14ac:dyDescent="0.25">
      <c r="A77" s="71" t="s">
        <v>780</v>
      </c>
      <c r="B77" s="27" t="s">
        <v>561</v>
      </c>
      <c r="C77" t="s">
        <v>89</v>
      </c>
      <c r="D77">
        <v>2011</v>
      </c>
      <c r="E77" t="s">
        <v>698</v>
      </c>
      <c r="F77" t="s">
        <v>428</v>
      </c>
      <c r="G77" t="s">
        <v>86</v>
      </c>
      <c r="H77" t="s">
        <v>140</v>
      </c>
      <c r="L77">
        <v>517</v>
      </c>
      <c r="M77" t="s">
        <v>70</v>
      </c>
      <c r="N77" t="s">
        <v>573</v>
      </c>
      <c r="O77">
        <v>22</v>
      </c>
      <c r="P77">
        <v>14</v>
      </c>
      <c r="Q77" t="s">
        <v>781</v>
      </c>
      <c r="U77" t="s">
        <v>128</v>
      </c>
      <c r="V77" t="s">
        <v>75</v>
      </c>
      <c r="AH77" s="1" t="s">
        <v>778</v>
      </c>
      <c r="AI77" s="15" t="s">
        <v>782</v>
      </c>
      <c r="AJ77" s="8">
        <v>2009</v>
      </c>
      <c r="AK77" s="8" t="s">
        <v>765</v>
      </c>
      <c r="AL77" s="8">
        <v>98.08</v>
      </c>
      <c r="AQ77" s="8">
        <v>100</v>
      </c>
      <c r="AR77" s="54">
        <v>98.08</v>
      </c>
      <c r="AS77" s="55">
        <v>100</v>
      </c>
      <c r="AT77" s="55">
        <v>0</v>
      </c>
      <c r="AU77" s="55">
        <v>0</v>
      </c>
      <c r="AV77" s="56">
        <v>0</v>
      </c>
      <c r="AW77" s="54">
        <v>88.71</v>
      </c>
      <c r="AX77" s="48">
        <f t="shared" si="1"/>
        <v>9.9500000000000028</v>
      </c>
      <c r="AY77" s="55">
        <v>98.66</v>
      </c>
      <c r="AZ77" s="55">
        <v>1.34</v>
      </c>
      <c r="BA77" s="55">
        <v>0</v>
      </c>
      <c r="BB77" s="56">
        <v>0</v>
      </c>
      <c r="BC77" s="36">
        <v>27.5</v>
      </c>
      <c r="BD77" t="s">
        <v>1208</v>
      </c>
      <c r="BG77" s="39" t="s">
        <v>88</v>
      </c>
      <c r="BH77" s="19" t="s">
        <v>137</v>
      </c>
      <c r="BI77" s="8">
        <v>48405</v>
      </c>
      <c r="BJ77" s="8" t="s">
        <v>82</v>
      </c>
      <c r="BL77" s="21">
        <v>10.220000000000001</v>
      </c>
      <c r="BM77" s="21">
        <v>2017</v>
      </c>
      <c r="BN77" s="21" t="s">
        <v>138</v>
      </c>
      <c r="BO77" s="21">
        <v>8</v>
      </c>
    </row>
    <row r="78" spans="1:67" x14ac:dyDescent="0.25">
      <c r="A78" s="71">
        <v>155</v>
      </c>
      <c r="B78" s="27" t="s">
        <v>561</v>
      </c>
      <c r="C78" t="s">
        <v>157</v>
      </c>
      <c r="D78">
        <v>2016</v>
      </c>
      <c r="E78" t="s">
        <v>139</v>
      </c>
      <c r="F78" t="s">
        <v>66</v>
      </c>
      <c r="G78" t="s">
        <v>159</v>
      </c>
      <c r="H78" t="s">
        <v>140</v>
      </c>
      <c r="J78" t="s">
        <v>783</v>
      </c>
      <c r="K78" t="s">
        <v>69</v>
      </c>
      <c r="L78">
        <v>779</v>
      </c>
      <c r="N78" t="s">
        <v>573</v>
      </c>
      <c r="O78">
        <v>18</v>
      </c>
      <c r="Q78" t="s">
        <v>87</v>
      </c>
      <c r="U78" t="s">
        <v>128</v>
      </c>
      <c r="V78" t="s">
        <v>75</v>
      </c>
      <c r="AH78" s="1" t="s">
        <v>784</v>
      </c>
      <c r="AI78" s="8" t="s">
        <v>785</v>
      </c>
      <c r="AJ78" s="8">
        <v>2014</v>
      </c>
      <c r="AK78" s="8" t="s">
        <v>765</v>
      </c>
      <c r="AL78" s="8">
        <v>89.07</v>
      </c>
      <c r="AQ78" s="8">
        <v>95.62</v>
      </c>
      <c r="AR78" s="54">
        <v>89.07</v>
      </c>
      <c r="AS78" s="55">
        <v>98.12</v>
      </c>
      <c r="AT78" s="55">
        <v>0</v>
      </c>
      <c r="AU78" s="55">
        <v>0.03</v>
      </c>
      <c r="AV78" s="56">
        <v>1.85</v>
      </c>
      <c r="AW78" s="54">
        <v>79.25</v>
      </c>
      <c r="AX78" s="48">
        <f t="shared" si="1"/>
        <v>18.75</v>
      </c>
      <c r="AY78" s="55">
        <v>98</v>
      </c>
      <c r="AZ78" s="55">
        <v>2</v>
      </c>
      <c r="BA78" s="55">
        <v>0</v>
      </c>
      <c r="BB78" s="56">
        <v>0</v>
      </c>
      <c r="BC78" s="36">
        <v>17.03</v>
      </c>
      <c r="BD78" t="s">
        <v>1187</v>
      </c>
      <c r="BG78" s="39" t="s">
        <v>161</v>
      </c>
      <c r="BH78" s="19" t="s">
        <v>137</v>
      </c>
      <c r="BI78" s="8">
        <v>30265</v>
      </c>
      <c r="BJ78" s="8" t="s">
        <v>82</v>
      </c>
      <c r="BL78" s="22"/>
      <c r="BM78" s="22"/>
      <c r="BN78" s="22" t="s">
        <v>260</v>
      </c>
      <c r="BO78" s="22"/>
    </row>
    <row r="79" spans="1:67" x14ac:dyDescent="0.25">
      <c r="A79" s="71">
        <v>156</v>
      </c>
      <c r="B79" s="27" t="s">
        <v>561</v>
      </c>
      <c r="C79" t="s">
        <v>162</v>
      </c>
      <c r="D79">
        <v>2016</v>
      </c>
      <c r="E79" t="s">
        <v>119</v>
      </c>
      <c r="F79" t="s">
        <v>66</v>
      </c>
      <c r="G79" t="s">
        <v>163</v>
      </c>
      <c r="H79" t="s">
        <v>140</v>
      </c>
      <c r="I79" t="s">
        <v>629</v>
      </c>
      <c r="J79" t="s">
        <v>105</v>
      </c>
      <c r="K79" t="s">
        <v>69</v>
      </c>
      <c r="L79">
        <v>308</v>
      </c>
      <c r="M79" t="s">
        <v>90</v>
      </c>
      <c r="N79" t="s">
        <v>573</v>
      </c>
      <c r="O79">
        <v>14</v>
      </c>
      <c r="P79">
        <v>14</v>
      </c>
      <c r="Q79" t="s">
        <v>786</v>
      </c>
      <c r="U79" t="s">
        <v>128</v>
      </c>
      <c r="V79" t="s">
        <v>75</v>
      </c>
      <c r="AH79" s="1" t="s">
        <v>787</v>
      </c>
      <c r="AI79" s="8" t="s">
        <v>788</v>
      </c>
      <c r="AJ79" s="8">
        <v>2016</v>
      </c>
      <c r="AK79" s="8" t="s">
        <v>765</v>
      </c>
      <c r="AL79" s="8">
        <v>99.29</v>
      </c>
      <c r="AQ79" s="8">
        <v>100</v>
      </c>
      <c r="AR79" s="54">
        <v>99.29</v>
      </c>
      <c r="AS79" s="55">
        <v>100</v>
      </c>
      <c r="AT79" s="55">
        <v>0</v>
      </c>
      <c r="AU79" s="55">
        <v>0</v>
      </c>
      <c r="AV79" s="56">
        <v>0</v>
      </c>
      <c r="AW79" s="54">
        <v>77.47</v>
      </c>
      <c r="AX79" s="48">
        <f t="shared" si="1"/>
        <v>20.590000000000003</v>
      </c>
      <c r="AY79" s="55">
        <v>98.06</v>
      </c>
      <c r="AZ79" s="55">
        <v>1.94</v>
      </c>
      <c r="BA79" s="55">
        <v>0</v>
      </c>
      <c r="BB79" s="56">
        <v>0</v>
      </c>
      <c r="BC79" s="36">
        <v>15.64</v>
      </c>
      <c r="BD79" t="s">
        <v>1209</v>
      </c>
      <c r="BG79" s="39" t="s">
        <v>114</v>
      </c>
      <c r="BH79" s="19" t="s">
        <v>137</v>
      </c>
      <c r="BI79" s="8">
        <v>88041.600000000006</v>
      </c>
      <c r="BJ79" s="8" t="s">
        <v>82</v>
      </c>
      <c r="BL79" s="21">
        <v>5.58</v>
      </c>
      <c r="BM79" s="21">
        <v>2016</v>
      </c>
      <c r="BN79" s="21" t="s">
        <v>138</v>
      </c>
      <c r="BO79" s="21">
        <v>1</v>
      </c>
    </row>
    <row r="80" spans="1:67" x14ac:dyDescent="0.25">
      <c r="A80" s="71">
        <v>157</v>
      </c>
      <c r="B80" s="27" t="s">
        <v>561</v>
      </c>
      <c r="C80" t="s">
        <v>65</v>
      </c>
      <c r="D80">
        <v>2004</v>
      </c>
      <c r="E80" t="s">
        <v>789</v>
      </c>
      <c r="F80" t="s">
        <v>66</v>
      </c>
      <c r="G80" t="s">
        <v>67</v>
      </c>
      <c r="H80" t="s">
        <v>140</v>
      </c>
      <c r="I80" t="s">
        <v>76</v>
      </c>
      <c r="J80" t="s">
        <v>105</v>
      </c>
      <c r="K80" s="9" t="s">
        <v>69</v>
      </c>
      <c r="L80">
        <v>108</v>
      </c>
      <c r="N80" t="s">
        <v>573</v>
      </c>
      <c r="O80">
        <v>4</v>
      </c>
      <c r="Q80" t="s">
        <v>790</v>
      </c>
      <c r="U80" t="s">
        <v>128</v>
      </c>
      <c r="V80" t="s">
        <v>75</v>
      </c>
      <c r="AH80" s="1" t="s">
        <v>791</v>
      </c>
      <c r="AI80" s="15" t="s">
        <v>792</v>
      </c>
      <c r="AJ80" s="8">
        <v>2003</v>
      </c>
      <c r="AK80" s="8" t="s">
        <v>765</v>
      </c>
      <c r="AL80" s="8">
        <v>99.64</v>
      </c>
      <c r="AQ80" s="8">
        <v>99.44</v>
      </c>
      <c r="AR80" s="54">
        <v>99.43</v>
      </c>
      <c r="AS80" s="55">
        <v>100</v>
      </c>
      <c r="AT80" s="55">
        <v>0</v>
      </c>
      <c r="AU80" s="55">
        <v>0</v>
      </c>
      <c r="AV80" s="56">
        <v>0</v>
      </c>
      <c r="AW80" s="54">
        <v>92.73</v>
      </c>
      <c r="AX80" s="48">
        <f t="shared" si="1"/>
        <v>7.0999999999999943</v>
      </c>
      <c r="AY80" s="55">
        <v>99.83</v>
      </c>
      <c r="AZ80" s="55">
        <v>0.08</v>
      </c>
      <c r="BA80" s="55">
        <v>0.1</v>
      </c>
      <c r="BB80" s="56">
        <v>0</v>
      </c>
      <c r="BC80" s="36">
        <v>24.6</v>
      </c>
      <c r="BD80" t="s">
        <v>1210</v>
      </c>
      <c r="BG80" s="39" t="s">
        <v>80</v>
      </c>
      <c r="BH80" s="19" t="s">
        <v>137</v>
      </c>
      <c r="BI80" s="8">
        <v>42223.1</v>
      </c>
      <c r="BJ80" s="8" t="s">
        <v>82</v>
      </c>
      <c r="BL80" s="23">
        <v>14.1</v>
      </c>
      <c r="BM80" s="23">
        <v>2019</v>
      </c>
      <c r="BN80" s="23" t="s">
        <v>608</v>
      </c>
      <c r="BO80" s="23">
        <v>16</v>
      </c>
    </row>
    <row r="81" spans="1:67" x14ac:dyDescent="0.25">
      <c r="A81" s="72" t="s">
        <v>793</v>
      </c>
      <c r="B81" s="27" t="s">
        <v>196</v>
      </c>
      <c r="C81" s="2" t="s">
        <v>213</v>
      </c>
      <c r="D81" s="2">
        <v>2023</v>
      </c>
      <c r="E81" s="2">
        <v>2011</v>
      </c>
      <c r="F81" s="2" t="s">
        <v>66</v>
      </c>
      <c r="G81" s="2" t="s">
        <v>215</v>
      </c>
      <c r="H81" s="2" t="s">
        <v>140</v>
      </c>
      <c r="I81" s="2" t="s">
        <v>68</v>
      </c>
      <c r="J81" s="2" t="s">
        <v>794</v>
      </c>
      <c r="K81" s="2" t="s">
        <v>125</v>
      </c>
      <c r="L81" s="2">
        <v>521</v>
      </c>
      <c r="M81" s="2" t="s">
        <v>70</v>
      </c>
      <c r="N81" s="2" t="s">
        <v>573</v>
      </c>
      <c r="O81" s="2">
        <v>265</v>
      </c>
      <c r="P81" s="2">
        <v>260</v>
      </c>
      <c r="Q81" s="2" t="s">
        <v>795</v>
      </c>
      <c r="R81" s="2">
        <v>1</v>
      </c>
      <c r="S81" s="2"/>
      <c r="T81" s="2" t="s">
        <v>796</v>
      </c>
      <c r="U81" s="2" t="s">
        <v>128</v>
      </c>
      <c r="V81" s="2" t="s">
        <v>75</v>
      </c>
      <c r="W81" s="2" t="s">
        <v>797</v>
      </c>
      <c r="X81" s="2" t="s">
        <v>798</v>
      </c>
      <c r="Y81" s="2" t="s">
        <v>799</v>
      </c>
      <c r="Z81" s="2"/>
      <c r="AA81" s="2"/>
      <c r="AB81" s="2"/>
      <c r="AC81" s="2"/>
      <c r="AD81" s="2"/>
      <c r="AE81" s="2"/>
      <c r="AF81" s="2"/>
      <c r="AG81" s="2" t="s">
        <v>800</v>
      </c>
      <c r="AH81" s="1" t="s">
        <v>801</v>
      </c>
      <c r="AI81" s="16" t="s">
        <v>802</v>
      </c>
      <c r="AJ81" s="8">
        <v>2011</v>
      </c>
      <c r="AK81" s="8" t="s">
        <v>79</v>
      </c>
      <c r="AL81" s="8">
        <v>62.24</v>
      </c>
      <c r="AQ81" s="8">
        <v>71.959999999999994</v>
      </c>
      <c r="AR81" s="54">
        <v>43.94</v>
      </c>
      <c r="AS81" s="55">
        <v>88.47</v>
      </c>
      <c r="AT81" s="55">
        <v>6.82</v>
      </c>
      <c r="AU81" s="55">
        <v>1.69</v>
      </c>
      <c r="AV81" s="56">
        <v>3.02</v>
      </c>
      <c r="AW81" s="54">
        <v>11.72</v>
      </c>
      <c r="AX81" s="48">
        <f t="shared" si="1"/>
        <v>9.9999999999999982</v>
      </c>
      <c r="AY81" s="55">
        <v>21.72</v>
      </c>
      <c r="AZ81" s="55">
        <v>60.78</v>
      </c>
      <c r="BA81" s="55">
        <v>9.2100000000000009</v>
      </c>
      <c r="BB81" s="56">
        <v>8.2799999999999994</v>
      </c>
      <c r="BC81" s="36">
        <v>5.9</v>
      </c>
      <c r="BD81" t="s">
        <v>1211</v>
      </c>
      <c r="BG81" s="39" t="s">
        <v>182</v>
      </c>
      <c r="BH81" s="19" t="s">
        <v>137</v>
      </c>
      <c r="BI81" s="8">
        <v>5005.3999999999996</v>
      </c>
      <c r="BJ81" s="8" t="s">
        <v>82</v>
      </c>
      <c r="BL81" s="21">
        <v>64.290000000000006</v>
      </c>
      <c r="BM81" s="21">
        <v>2020</v>
      </c>
      <c r="BN81" s="21" t="s">
        <v>138</v>
      </c>
      <c r="BO81" s="21">
        <v>9</v>
      </c>
    </row>
    <row r="82" spans="1:67" x14ac:dyDescent="0.25">
      <c r="A82" s="72" t="s">
        <v>803</v>
      </c>
      <c r="B82" s="27" t="s">
        <v>196</v>
      </c>
      <c r="C82" s="2" t="s">
        <v>213</v>
      </c>
      <c r="D82" s="2">
        <v>2023</v>
      </c>
      <c r="E82" s="2">
        <v>2011</v>
      </c>
      <c r="F82" s="2" t="s">
        <v>66</v>
      </c>
      <c r="G82" s="2" t="s">
        <v>215</v>
      </c>
      <c r="H82" s="2" t="s">
        <v>140</v>
      </c>
      <c r="I82" s="2" t="s">
        <v>123</v>
      </c>
      <c r="J82" s="2" t="s">
        <v>794</v>
      </c>
      <c r="K82" s="2" t="s">
        <v>125</v>
      </c>
      <c r="L82" s="2">
        <v>215</v>
      </c>
      <c r="M82" s="2" t="s">
        <v>70</v>
      </c>
      <c r="N82" s="2" t="s">
        <v>573</v>
      </c>
      <c r="O82" s="2">
        <v>95</v>
      </c>
      <c r="P82" s="2">
        <v>91</v>
      </c>
      <c r="Q82" s="2" t="s">
        <v>804</v>
      </c>
      <c r="R82" s="2">
        <v>1</v>
      </c>
      <c r="S82" s="2"/>
      <c r="T82" s="2" t="s">
        <v>805</v>
      </c>
      <c r="U82" s="2" t="s">
        <v>128</v>
      </c>
      <c r="V82" s="2" t="s">
        <v>75</v>
      </c>
      <c r="W82" s="2" t="s">
        <v>806</v>
      </c>
      <c r="X82" s="2" t="s">
        <v>807</v>
      </c>
      <c r="Y82" s="2" t="s">
        <v>808</v>
      </c>
      <c r="Z82" s="2"/>
      <c r="AA82" s="2"/>
      <c r="AB82" s="2"/>
      <c r="AC82" s="2"/>
      <c r="AD82" s="2"/>
      <c r="AE82" s="2"/>
      <c r="AF82" s="2"/>
      <c r="AG82" s="2" t="s">
        <v>800</v>
      </c>
      <c r="AH82" s="1" t="s">
        <v>801</v>
      </c>
      <c r="AI82" s="16" t="s">
        <v>809</v>
      </c>
      <c r="AJ82" s="8">
        <v>2011</v>
      </c>
      <c r="AK82" s="8" t="s">
        <v>212</v>
      </c>
      <c r="AL82" s="8">
        <v>41.2</v>
      </c>
      <c r="AQ82" s="8">
        <v>23.85</v>
      </c>
      <c r="AR82" s="54">
        <v>6.68</v>
      </c>
      <c r="AS82" s="55">
        <v>63.85</v>
      </c>
      <c r="AT82" s="55">
        <v>10.16</v>
      </c>
      <c r="AU82" s="55">
        <v>19</v>
      </c>
      <c r="AV82" s="56">
        <v>6.99</v>
      </c>
      <c r="AW82" s="54">
        <v>8.7200000000000006</v>
      </c>
      <c r="AX82" s="48">
        <f t="shared" si="1"/>
        <v>1.2599999999999998</v>
      </c>
      <c r="AY82" s="55">
        <v>9.98</v>
      </c>
      <c r="AZ82" s="55">
        <v>36.9</v>
      </c>
      <c r="BA82" s="55">
        <v>22.63</v>
      </c>
      <c r="BB82" s="56">
        <v>30.5</v>
      </c>
      <c r="BC82" s="36">
        <v>5.9</v>
      </c>
      <c r="BD82" t="s">
        <v>1211</v>
      </c>
      <c r="BG82" s="39" t="s">
        <v>182</v>
      </c>
      <c r="BH82" s="19" t="s">
        <v>137</v>
      </c>
      <c r="BI82" s="8">
        <v>5005.3999999999996</v>
      </c>
      <c r="BJ82" s="8" t="s">
        <v>82</v>
      </c>
      <c r="BL82" s="21">
        <v>64.290000000000006</v>
      </c>
      <c r="BM82" s="21">
        <v>2020</v>
      </c>
      <c r="BN82" s="21" t="s">
        <v>138</v>
      </c>
      <c r="BO82" s="21">
        <v>9</v>
      </c>
    </row>
    <row r="83" spans="1:67" x14ac:dyDescent="0.25">
      <c r="A83" s="73">
        <v>159</v>
      </c>
      <c r="B83" s="29" t="s">
        <v>810</v>
      </c>
      <c r="C83" s="8" t="s">
        <v>811</v>
      </c>
      <c r="D83" s="8">
        <v>2018</v>
      </c>
      <c r="E83" s="8" t="s">
        <v>812</v>
      </c>
      <c r="F83" s="8" t="s">
        <v>428</v>
      </c>
      <c r="G83" s="8" t="s">
        <v>710</v>
      </c>
      <c r="H83" s="8" t="s">
        <v>140</v>
      </c>
      <c r="I83" s="8" t="s">
        <v>68</v>
      </c>
      <c r="J83" s="8" t="s">
        <v>813</v>
      </c>
      <c r="K83" s="8" t="s">
        <v>69</v>
      </c>
      <c r="L83" s="8">
        <v>275</v>
      </c>
      <c r="M83" t="s">
        <v>814</v>
      </c>
      <c r="N83" s="2" t="s">
        <v>573</v>
      </c>
      <c r="O83">
        <v>54</v>
      </c>
      <c r="P83" s="8">
        <v>28</v>
      </c>
      <c r="Q83" s="8" t="s">
        <v>815</v>
      </c>
      <c r="U83" t="s">
        <v>128</v>
      </c>
      <c r="V83" t="s">
        <v>75</v>
      </c>
      <c r="AG83" s="8" t="s">
        <v>816</v>
      </c>
      <c r="AH83" s="1" t="s">
        <v>817</v>
      </c>
      <c r="AI83" s="16" t="s">
        <v>818</v>
      </c>
      <c r="AJ83" s="8">
        <v>2016</v>
      </c>
      <c r="AK83" s="8" t="s">
        <v>79</v>
      </c>
      <c r="AL83" s="8">
        <v>52.11</v>
      </c>
      <c r="AQ83" s="8">
        <v>63.28</v>
      </c>
      <c r="AR83" s="54">
        <v>32.36</v>
      </c>
      <c r="AS83" s="55">
        <v>76.010000000000005</v>
      </c>
      <c r="AT83" s="55">
        <v>6.46</v>
      </c>
      <c r="AU83" s="55">
        <v>4.82</v>
      </c>
      <c r="AV83" s="56">
        <v>12.71</v>
      </c>
      <c r="AW83" s="54">
        <v>13.77</v>
      </c>
      <c r="AX83" s="48">
        <f t="shared" si="1"/>
        <v>4.370000000000001</v>
      </c>
      <c r="AY83" s="55">
        <v>18.14</v>
      </c>
      <c r="AZ83" s="55">
        <v>27.3</v>
      </c>
      <c r="BA83" s="55">
        <v>38.68</v>
      </c>
      <c r="BB83" s="56">
        <v>15.88</v>
      </c>
      <c r="BC83" s="64">
        <v>7.3</v>
      </c>
      <c r="BD83" s="16" t="s">
        <v>1212</v>
      </c>
      <c r="BG83" s="39" t="s">
        <v>187</v>
      </c>
      <c r="BH83" s="19" t="s">
        <v>137</v>
      </c>
      <c r="BI83" s="8">
        <v>1648.9</v>
      </c>
      <c r="BJ83" s="8" t="s">
        <v>82</v>
      </c>
      <c r="BL83" s="21">
        <v>33.33</v>
      </c>
      <c r="BM83" s="21">
        <v>2018</v>
      </c>
      <c r="BN83" s="21" t="s">
        <v>138</v>
      </c>
      <c r="BO83" s="21">
        <v>2.5</v>
      </c>
    </row>
    <row r="84" spans="1:67" x14ac:dyDescent="0.25">
      <c r="A84" s="73">
        <v>160</v>
      </c>
      <c r="B84" s="29" t="s">
        <v>810</v>
      </c>
      <c r="C84" s="8" t="s">
        <v>179</v>
      </c>
      <c r="D84" s="8">
        <v>2016</v>
      </c>
      <c r="E84" s="8" t="s">
        <v>117</v>
      </c>
      <c r="F84" s="8" t="s">
        <v>66</v>
      </c>
      <c r="G84" s="8" t="s">
        <v>180</v>
      </c>
      <c r="H84" s="8" t="s">
        <v>140</v>
      </c>
      <c r="I84" s="8" t="s">
        <v>68</v>
      </c>
      <c r="J84" s="8" t="s">
        <v>819</v>
      </c>
      <c r="K84" s="8" t="s">
        <v>125</v>
      </c>
      <c r="L84" s="8">
        <v>101</v>
      </c>
      <c r="M84" s="8" t="s">
        <v>70</v>
      </c>
      <c r="N84" s="2" t="s">
        <v>573</v>
      </c>
      <c r="O84">
        <v>22</v>
      </c>
      <c r="P84" s="8">
        <v>21</v>
      </c>
      <c r="Q84" s="8" t="s">
        <v>820</v>
      </c>
      <c r="U84" t="s">
        <v>128</v>
      </c>
      <c r="V84" t="s">
        <v>75</v>
      </c>
      <c r="AG84" s="8" t="s">
        <v>821</v>
      </c>
      <c r="AH84" t="s">
        <v>822</v>
      </c>
      <c r="AI84" s="15" t="s">
        <v>823</v>
      </c>
      <c r="AJ84" s="8">
        <v>2014</v>
      </c>
      <c r="AK84" s="8" t="s">
        <v>79</v>
      </c>
      <c r="AL84" s="13"/>
      <c r="AQ84" s="8">
        <v>78.540000000000006</v>
      </c>
      <c r="AR84" s="58">
        <v>44.27</v>
      </c>
      <c r="AS84" s="55">
        <v>80.180000000000007</v>
      </c>
      <c r="AT84" s="55">
        <v>12.99</v>
      </c>
      <c r="AU84" s="55">
        <v>0.22</v>
      </c>
      <c r="AV84" s="56">
        <v>6.6</v>
      </c>
      <c r="AW84" s="54">
        <v>29.79</v>
      </c>
      <c r="AX84" s="48">
        <f t="shared" si="1"/>
        <v>16.29</v>
      </c>
      <c r="AY84" s="55">
        <v>46.08</v>
      </c>
      <c r="AZ84" s="55">
        <v>41.46</v>
      </c>
      <c r="BA84" s="55">
        <v>5.51</v>
      </c>
      <c r="BB84" s="56">
        <v>6.95</v>
      </c>
      <c r="BC84" s="38">
        <v>8.6</v>
      </c>
      <c r="BD84" s="16" t="s">
        <v>1214</v>
      </c>
      <c r="BG84" s="39" t="s">
        <v>182</v>
      </c>
      <c r="BH84" s="19" t="s">
        <v>137</v>
      </c>
      <c r="BI84" s="8">
        <v>2083.1999999999998</v>
      </c>
      <c r="BJ84" s="8" t="s">
        <v>82</v>
      </c>
      <c r="BK84" s="15">
        <v>20.74</v>
      </c>
      <c r="BL84" s="21">
        <v>63.64</v>
      </c>
      <c r="BM84" s="21">
        <v>2020</v>
      </c>
      <c r="BN84" s="21" t="s">
        <v>138</v>
      </c>
      <c r="BO84" s="21">
        <v>6</v>
      </c>
    </row>
    <row r="85" spans="1:67" x14ac:dyDescent="0.25">
      <c r="A85" s="73">
        <v>161</v>
      </c>
      <c r="B85" s="29" t="s">
        <v>810</v>
      </c>
      <c r="C85" s="8" t="s">
        <v>824</v>
      </c>
      <c r="D85" s="8">
        <v>2017</v>
      </c>
      <c r="E85" s="8" t="s">
        <v>117</v>
      </c>
      <c r="F85" s="8" t="s">
        <v>428</v>
      </c>
      <c r="G85" s="8" t="s">
        <v>190</v>
      </c>
      <c r="H85" s="8" t="s">
        <v>140</v>
      </c>
      <c r="I85" s="8" t="s">
        <v>68</v>
      </c>
      <c r="J85" s="8" t="s">
        <v>825</v>
      </c>
      <c r="L85" s="8">
        <v>361</v>
      </c>
      <c r="M85" s="8" t="s">
        <v>90</v>
      </c>
      <c r="N85" s="2" t="s">
        <v>573</v>
      </c>
      <c r="O85">
        <v>135</v>
      </c>
      <c r="P85" s="8">
        <v>87</v>
      </c>
      <c r="Q85" s="8" t="s">
        <v>826</v>
      </c>
      <c r="U85" t="s">
        <v>128</v>
      </c>
      <c r="AG85" s="8" t="s">
        <v>827</v>
      </c>
      <c r="AH85" t="s">
        <v>828</v>
      </c>
      <c r="AI85" s="15" t="s">
        <v>829</v>
      </c>
      <c r="AJ85" s="8">
        <v>2014</v>
      </c>
      <c r="AK85" s="8" t="s">
        <v>79</v>
      </c>
      <c r="AL85" s="8">
        <v>86.45</v>
      </c>
      <c r="AQ85" s="8">
        <v>75.75</v>
      </c>
      <c r="AR85" s="54">
        <v>41.38</v>
      </c>
      <c r="AS85" s="55">
        <v>81.599999999999994</v>
      </c>
      <c r="AT85" s="55">
        <v>9.8800000000000008</v>
      </c>
      <c r="AU85" s="55">
        <v>3.66</v>
      </c>
      <c r="AV85" s="56">
        <v>4.8600000000000003</v>
      </c>
      <c r="AW85" s="58">
        <v>43.44</v>
      </c>
      <c r="AX85" s="48">
        <f t="shared" si="1"/>
        <v>15.25</v>
      </c>
      <c r="AY85" s="55">
        <v>58.69</v>
      </c>
      <c r="AZ85" s="55">
        <v>32.19</v>
      </c>
      <c r="BA85" s="55">
        <v>8.11</v>
      </c>
      <c r="BB85" s="56">
        <v>1</v>
      </c>
      <c r="BC85" s="64">
        <v>12.5</v>
      </c>
      <c r="BD85" s="16" t="s">
        <v>1214</v>
      </c>
      <c r="BG85" s="39" t="s">
        <v>187</v>
      </c>
      <c r="BH85" s="19" t="s">
        <v>137</v>
      </c>
      <c r="BI85" s="8">
        <v>2176.1</v>
      </c>
      <c r="BJ85" s="8" t="s">
        <v>82</v>
      </c>
      <c r="BL85" s="21">
        <v>48</v>
      </c>
      <c r="BM85" s="21">
        <v>2022</v>
      </c>
      <c r="BN85" s="21" t="s">
        <v>138</v>
      </c>
      <c r="BO85" s="21">
        <v>8</v>
      </c>
    </row>
    <row r="86" spans="1:67" x14ac:dyDescent="0.25">
      <c r="A86" s="73">
        <v>162</v>
      </c>
      <c r="B86" s="29" t="s">
        <v>810</v>
      </c>
      <c r="C86" s="8" t="s">
        <v>830</v>
      </c>
      <c r="D86" s="8">
        <v>2019</v>
      </c>
      <c r="E86" s="8" t="s">
        <v>471</v>
      </c>
      <c r="F86" s="8" t="s">
        <v>66</v>
      </c>
      <c r="G86" s="8" t="s">
        <v>168</v>
      </c>
      <c r="H86" s="8" t="s">
        <v>140</v>
      </c>
      <c r="I86" s="8" t="s">
        <v>68</v>
      </c>
      <c r="J86" s="8" t="s">
        <v>831</v>
      </c>
      <c r="K86" s="8" t="s">
        <v>125</v>
      </c>
      <c r="L86" s="8">
        <v>100</v>
      </c>
      <c r="M86" t="s">
        <v>70</v>
      </c>
      <c r="N86" s="2" t="s">
        <v>573</v>
      </c>
      <c r="O86">
        <v>38</v>
      </c>
      <c r="P86" s="8">
        <v>29</v>
      </c>
      <c r="Q86" s="8" t="s">
        <v>832</v>
      </c>
      <c r="U86" t="s">
        <v>128</v>
      </c>
      <c r="AG86" s="8" t="s">
        <v>833</v>
      </c>
      <c r="AH86" t="s">
        <v>834</v>
      </c>
      <c r="AI86" s="16" t="s">
        <v>835</v>
      </c>
      <c r="AJ86" s="8">
        <v>2017</v>
      </c>
      <c r="AK86" s="8" t="s">
        <v>79</v>
      </c>
      <c r="AL86" s="8">
        <v>17.079999999999998</v>
      </c>
      <c r="AQ86" s="8">
        <v>48.33</v>
      </c>
      <c r="AR86" s="54">
        <v>17.079999999999998</v>
      </c>
      <c r="AS86" s="55">
        <v>77.430000000000007</v>
      </c>
      <c r="AT86" s="55">
        <v>11.21</v>
      </c>
      <c r="AU86" s="55">
        <v>0.72</v>
      </c>
      <c r="AV86" s="56">
        <v>10.64</v>
      </c>
      <c r="AW86" s="54">
        <v>28.58</v>
      </c>
      <c r="AX86" s="48">
        <f t="shared" si="1"/>
        <v>6.6099999999999994</v>
      </c>
      <c r="AY86" s="55">
        <v>35.19</v>
      </c>
      <c r="AZ86" s="55">
        <v>17.920000000000002</v>
      </c>
      <c r="BA86" s="55">
        <v>30.97</v>
      </c>
      <c r="BB86" s="56">
        <v>15.92</v>
      </c>
      <c r="BC86" s="64">
        <v>6.8</v>
      </c>
      <c r="BD86" s="16" t="s">
        <v>1213</v>
      </c>
      <c r="BG86" s="39" t="s">
        <v>171</v>
      </c>
      <c r="BH86" s="19" t="s">
        <v>137</v>
      </c>
      <c r="BI86" s="8">
        <v>2496.3000000000002</v>
      </c>
      <c r="BJ86" s="8" t="s">
        <v>82</v>
      </c>
      <c r="BL86" s="22"/>
      <c r="BM86" s="22"/>
      <c r="BN86" s="22" t="s">
        <v>260</v>
      </c>
      <c r="BO86" s="22"/>
    </row>
    <row r="87" spans="1:67" x14ac:dyDescent="0.25">
      <c r="A87" s="73">
        <v>163</v>
      </c>
      <c r="B87" s="29" t="s">
        <v>810</v>
      </c>
      <c r="C87" s="8" t="s">
        <v>836</v>
      </c>
      <c r="D87" s="8">
        <v>2019</v>
      </c>
      <c r="E87" s="8" t="s">
        <v>243</v>
      </c>
      <c r="F87" s="8" t="s">
        <v>66</v>
      </c>
      <c r="G87" s="8" t="s">
        <v>184</v>
      </c>
      <c r="H87" s="8" t="s">
        <v>140</v>
      </c>
      <c r="I87" s="8" t="s">
        <v>68</v>
      </c>
      <c r="J87" s="8" t="s">
        <v>837</v>
      </c>
      <c r="K87" s="8" t="s">
        <v>69</v>
      </c>
      <c r="L87" s="8">
        <v>59</v>
      </c>
      <c r="M87" t="s">
        <v>90</v>
      </c>
      <c r="N87" s="2" t="s">
        <v>761</v>
      </c>
      <c r="O87">
        <v>58</v>
      </c>
      <c r="P87" s="8">
        <v>45</v>
      </c>
      <c r="Q87" s="8" t="s">
        <v>838</v>
      </c>
      <c r="U87" t="s">
        <v>128</v>
      </c>
      <c r="V87" t="s">
        <v>75</v>
      </c>
      <c r="AG87" s="8" t="s">
        <v>839</v>
      </c>
      <c r="AH87" s="1" t="s">
        <v>840</v>
      </c>
      <c r="AI87" s="14" t="s">
        <v>841</v>
      </c>
      <c r="AJ87" s="8">
        <v>2018</v>
      </c>
      <c r="AK87" s="8" t="s">
        <v>79</v>
      </c>
      <c r="AL87" s="8">
        <v>42.63</v>
      </c>
      <c r="AQ87" s="8">
        <v>67.010000000000005</v>
      </c>
      <c r="AR87" s="54">
        <v>42.63</v>
      </c>
      <c r="AS87" s="55">
        <v>81.73</v>
      </c>
      <c r="AT87" s="55">
        <v>10.039999999999999</v>
      </c>
      <c r="AU87" s="55">
        <v>2.19</v>
      </c>
      <c r="AV87" s="56">
        <v>6.04</v>
      </c>
      <c r="AW87" s="54">
        <v>32.42</v>
      </c>
      <c r="AX87" s="48">
        <f t="shared" si="1"/>
        <v>11.9255</v>
      </c>
      <c r="AY87" s="55">
        <v>44.345500000000001</v>
      </c>
      <c r="AZ87" s="55">
        <v>35.299999999999997</v>
      </c>
      <c r="BA87" s="55">
        <v>19.3</v>
      </c>
      <c r="BB87" s="56">
        <v>1.05</v>
      </c>
      <c r="BC87" s="36">
        <v>25</v>
      </c>
      <c r="BD87" t="s">
        <v>1218</v>
      </c>
      <c r="BG87" s="39" t="s">
        <v>187</v>
      </c>
      <c r="BH87" s="19" t="s">
        <v>137</v>
      </c>
      <c r="BI87" s="8">
        <v>3392.7</v>
      </c>
      <c r="BJ87" s="8" t="s">
        <v>82</v>
      </c>
      <c r="BL87" s="21">
        <v>75</v>
      </c>
      <c r="BM87" s="21">
        <v>2020</v>
      </c>
      <c r="BN87" s="21" t="s">
        <v>138</v>
      </c>
      <c r="BO87" s="21">
        <v>2</v>
      </c>
    </row>
    <row r="88" spans="1:67" x14ac:dyDescent="0.25">
      <c r="A88" s="73">
        <v>164</v>
      </c>
      <c r="B88" s="29" t="s">
        <v>810</v>
      </c>
      <c r="C88" s="8" t="s">
        <v>842</v>
      </c>
      <c r="D88" s="8">
        <v>2018</v>
      </c>
      <c r="E88" s="8" t="s">
        <v>170</v>
      </c>
      <c r="F88" s="8" t="s">
        <v>66</v>
      </c>
      <c r="G88" s="8" t="s">
        <v>843</v>
      </c>
      <c r="H88" s="8" t="s">
        <v>140</v>
      </c>
      <c r="I88" s="8" t="s">
        <v>76</v>
      </c>
      <c r="J88" s="8" t="s">
        <v>844</v>
      </c>
      <c r="K88" s="8" t="s">
        <v>76</v>
      </c>
      <c r="L88" s="8">
        <v>406</v>
      </c>
      <c r="M88" t="s">
        <v>70</v>
      </c>
      <c r="N88" s="2" t="s">
        <v>845</v>
      </c>
      <c r="O88" s="19">
        <v>14</v>
      </c>
      <c r="P88" s="8">
        <v>14</v>
      </c>
      <c r="Q88" s="8" t="s">
        <v>846</v>
      </c>
      <c r="U88" t="s">
        <v>847</v>
      </c>
      <c r="V88" t="s">
        <v>75</v>
      </c>
      <c r="AG88" s="8" t="s">
        <v>848</v>
      </c>
      <c r="AH88" t="s">
        <v>849</v>
      </c>
      <c r="AI88" s="16" t="s">
        <v>850</v>
      </c>
      <c r="AJ88" s="8">
        <v>2016</v>
      </c>
      <c r="AK88" s="8" t="s">
        <v>765</v>
      </c>
      <c r="AL88" s="8">
        <v>27.32</v>
      </c>
      <c r="AQ88" s="8">
        <v>14.03</v>
      </c>
      <c r="AR88" s="54">
        <v>25.52</v>
      </c>
      <c r="AS88" s="55">
        <v>69.739999999999995</v>
      </c>
      <c r="AT88" s="55">
        <v>6.34</v>
      </c>
      <c r="AU88" s="55">
        <v>9.43</v>
      </c>
      <c r="AV88" s="56">
        <v>14.48</v>
      </c>
      <c r="AW88" s="54">
        <v>27.69</v>
      </c>
      <c r="AX88" s="48">
        <f t="shared" si="1"/>
        <v>12.510000000000002</v>
      </c>
      <c r="AY88" s="55">
        <v>40.200000000000003</v>
      </c>
      <c r="AZ88" s="55">
        <v>19.55</v>
      </c>
      <c r="BA88" s="55">
        <v>20.02</v>
      </c>
      <c r="BB88" s="56">
        <v>20.23</v>
      </c>
      <c r="BC88" s="64">
        <v>13.8</v>
      </c>
      <c r="BD88" s="16" t="s">
        <v>1212</v>
      </c>
      <c r="BG88" s="39" t="s">
        <v>182</v>
      </c>
      <c r="BH88" s="19" t="s">
        <v>137</v>
      </c>
      <c r="BI88" s="8">
        <v>8534.7000000000007</v>
      </c>
      <c r="BJ88" s="8" t="s">
        <v>82</v>
      </c>
      <c r="BL88" s="21">
        <v>77.19</v>
      </c>
      <c r="BM88" s="21">
        <v>2017</v>
      </c>
      <c r="BN88" s="21" t="s">
        <v>138</v>
      </c>
      <c r="BO88" s="21">
        <v>1</v>
      </c>
    </row>
    <row r="89" spans="1:67" ht="75" x14ac:dyDescent="0.25">
      <c r="A89" s="73">
        <v>165</v>
      </c>
      <c r="B89" s="29" t="s">
        <v>851</v>
      </c>
      <c r="C89" s="8" t="s">
        <v>324</v>
      </c>
      <c r="D89" s="8">
        <v>2010</v>
      </c>
      <c r="E89" t="s">
        <v>325</v>
      </c>
      <c r="F89" t="s">
        <v>219</v>
      </c>
      <c r="G89" s="8" t="s">
        <v>852</v>
      </c>
      <c r="H89" s="8" t="s">
        <v>140</v>
      </c>
      <c r="I89" s="8" t="s">
        <v>123</v>
      </c>
      <c r="J89" s="8" t="s">
        <v>853</v>
      </c>
      <c r="K89" s="8" t="s">
        <v>69</v>
      </c>
      <c r="L89" s="8">
        <v>151</v>
      </c>
      <c r="M89" t="s">
        <v>70</v>
      </c>
      <c r="N89" t="s">
        <v>71</v>
      </c>
      <c r="O89">
        <v>13</v>
      </c>
      <c r="P89" s="8">
        <v>13</v>
      </c>
      <c r="Q89" s="8" t="s">
        <v>326</v>
      </c>
      <c r="U89" t="s">
        <v>128</v>
      </c>
      <c r="V89" t="s">
        <v>75</v>
      </c>
      <c r="AG89" s="8" t="s">
        <v>854</v>
      </c>
      <c r="AH89" t="s">
        <v>855</v>
      </c>
      <c r="AI89" t="s">
        <v>327</v>
      </c>
      <c r="AJ89">
        <v>2006</v>
      </c>
      <c r="AK89" t="s">
        <v>212</v>
      </c>
      <c r="AL89">
        <v>92.36</v>
      </c>
      <c r="AM89">
        <v>67.099999999999994</v>
      </c>
      <c r="AN89">
        <v>11.7</v>
      </c>
      <c r="AO89">
        <v>66.8</v>
      </c>
      <c r="AP89">
        <v>11.7</v>
      </c>
      <c r="AQ89">
        <v>85.47</v>
      </c>
      <c r="AR89" s="47">
        <v>89.06</v>
      </c>
      <c r="AS89" s="48">
        <v>92.73</v>
      </c>
      <c r="AT89" s="48">
        <v>0</v>
      </c>
      <c r="AU89" s="48">
        <v>0</v>
      </c>
      <c r="AV89" s="49">
        <v>7.27</v>
      </c>
      <c r="AW89" s="53">
        <v>57.9</v>
      </c>
      <c r="AX89" s="48">
        <f t="shared" si="1"/>
        <v>20.800000000000004</v>
      </c>
      <c r="AY89" s="62">
        <v>78.7</v>
      </c>
      <c r="AZ89" s="62">
        <v>8.7728389996526595</v>
      </c>
      <c r="BA89" s="62">
        <v>11.1629608201567</v>
      </c>
      <c r="BB89" s="63">
        <v>1.329222424685256</v>
      </c>
      <c r="BC89" s="36">
        <v>6.1</v>
      </c>
      <c r="BD89" t="s">
        <v>1206</v>
      </c>
      <c r="BE89" s="36">
        <v>14.3</v>
      </c>
      <c r="BF89">
        <v>2006</v>
      </c>
      <c r="BG89" s="37" t="s">
        <v>328</v>
      </c>
      <c r="BH89" s="19" t="s">
        <v>137</v>
      </c>
      <c r="BI89" s="8">
        <v>8702.2999999999993</v>
      </c>
      <c r="BJ89" s="8" t="s">
        <v>82</v>
      </c>
      <c r="BL89" s="22"/>
      <c r="BM89" s="22"/>
      <c r="BN89" s="22" t="s">
        <v>260</v>
      </c>
      <c r="BO89" s="22"/>
    </row>
    <row r="90" spans="1:67" x14ac:dyDescent="0.25">
      <c r="A90" s="73">
        <v>166</v>
      </c>
      <c r="B90" s="29" t="s">
        <v>810</v>
      </c>
      <c r="C90" s="8" t="s">
        <v>856</v>
      </c>
      <c r="D90" s="8">
        <v>2018</v>
      </c>
      <c r="E90" s="8" t="s">
        <v>136</v>
      </c>
      <c r="F90" s="8" t="s">
        <v>66</v>
      </c>
      <c r="G90" s="8" t="s">
        <v>427</v>
      </c>
      <c r="H90" s="8" t="s">
        <v>140</v>
      </c>
      <c r="I90" s="8" t="s">
        <v>123</v>
      </c>
      <c r="J90" s="8" t="s">
        <v>857</v>
      </c>
      <c r="K90" s="8" t="s">
        <v>858</v>
      </c>
      <c r="L90" s="8">
        <v>78</v>
      </c>
      <c r="M90" t="s">
        <v>859</v>
      </c>
      <c r="N90" s="2" t="s">
        <v>509</v>
      </c>
      <c r="O90">
        <v>27</v>
      </c>
      <c r="P90" s="8">
        <v>27</v>
      </c>
      <c r="Q90" s="8" t="s">
        <v>860</v>
      </c>
      <c r="U90" t="s">
        <v>128</v>
      </c>
      <c r="AG90" s="8" t="s">
        <v>861</v>
      </c>
      <c r="AH90" t="s">
        <v>862</v>
      </c>
      <c r="AI90" s="15" t="s">
        <v>863</v>
      </c>
      <c r="AJ90" s="12">
        <v>2015</v>
      </c>
      <c r="AK90" s="12" t="s">
        <v>765</v>
      </c>
      <c r="AL90" s="13"/>
      <c r="AQ90" s="12">
        <v>81.39</v>
      </c>
      <c r="AR90" s="58">
        <v>76.91</v>
      </c>
      <c r="AS90" s="51">
        <v>94.57</v>
      </c>
      <c r="AT90" s="51">
        <v>0.48</v>
      </c>
      <c r="AU90" s="51">
        <v>1.38</v>
      </c>
      <c r="AV90" s="52">
        <v>3.58</v>
      </c>
      <c r="AW90" s="57">
        <v>24.91</v>
      </c>
      <c r="AX90" s="48">
        <f t="shared" si="1"/>
        <v>69.67</v>
      </c>
      <c r="AY90" s="51">
        <v>94.58</v>
      </c>
      <c r="AZ90" s="51">
        <v>0</v>
      </c>
      <c r="BA90" s="51">
        <v>1.64</v>
      </c>
      <c r="BB90" s="52">
        <v>3.78</v>
      </c>
      <c r="BC90" s="64">
        <v>17.8</v>
      </c>
      <c r="BD90" s="16" t="s">
        <v>1217</v>
      </c>
      <c r="BG90" s="39" t="s">
        <v>328</v>
      </c>
      <c r="BH90" s="19" t="s">
        <v>137</v>
      </c>
      <c r="BI90" s="12">
        <v>4097</v>
      </c>
      <c r="BJ90" s="12" t="s">
        <v>864</v>
      </c>
      <c r="BK90" s="15">
        <v>8.89</v>
      </c>
      <c r="BL90" s="22"/>
      <c r="BM90" s="22"/>
      <c r="BN90" s="22" t="s">
        <v>260</v>
      </c>
      <c r="BO90" s="22"/>
    </row>
    <row r="91" spans="1:67" x14ac:dyDescent="0.25">
      <c r="A91" s="73">
        <v>167</v>
      </c>
      <c r="B91" s="29" t="s">
        <v>810</v>
      </c>
      <c r="C91" s="8" t="s">
        <v>865</v>
      </c>
      <c r="D91" s="8">
        <v>2017</v>
      </c>
      <c r="E91" s="8" t="s">
        <v>98</v>
      </c>
      <c r="F91" s="8" t="s">
        <v>66</v>
      </c>
      <c r="G91" s="8" t="s">
        <v>385</v>
      </c>
      <c r="H91" s="8" t="s">
        <v>140</v>
      </c>
      <c r="I91" s="8" t="s">
        <v>68</v>
      </c>
      <c r="J91" s="8" t="s">
        <v>866</v>
      </c>
      <c r="K91" s="8" t="s">
        <v>867</v>
      </c>
      <c r="L91" s="8">
        <v>60</v>
      </c>
      <c r="M91" t="s">
        <v>859</v>
      </c>
      <c r="N91" s="2" t="s">
        <v>868</v>
      </c>
      <c r="O91">
        <v>11</v>
      </c>
      <c r="P91" s="8">
        <v>11</v>
      </c>
      <c r="Q91" s="8" t="s">
        <v>869</v>
      </c>
      <c r="U91" t="s">
        <v>128</v>
      </c>
      <c r="AG91" s="8" t="s">
        <v>870</v>
      </c>
      <c r="AH91" t="s">
        <v>871</v>
      </c>
      <c r="AI91" s="15" t="s">
        <v>872</v>
      </c>
      <c r="AJ91" s="8">
        <v>2012</v>
      </c>
      <c r="AK91" s="8" t="s">
        <v>79</v>
      </c>
      <c r="AL91" s="13"/>
      <c r="AQ91" s="8">
        <v>95.96</v>
      </c>
      <c r="AR91" s="58">
        <v>91.52</v>
      </c>
      <c r="AS91" s="55">
        <v>98.45</v>
      </c>
      <c r="AT91" s="55">
        <v>0</v>
      </c>
      <c r="AU91" s="55">
        <v>0.14000000000000001</v>
      </c>
      <c r="AV91" s="56">
        <v>1.41</v>
      </c>
      <c r="AW91" s="54">
        <v>40.450000000000003</v>
      </c>
      <c r="AX91" s="48">
        <f t="shared" si="1"/>
        <v>50.129999999999995</v>
      </c>
      <c r="AY91" s="55">
        <v>90.58</v>
      </c>
      <c r="AZ91" s="55">
        <v>6.35</v>
      </c>
      <c r="BA91" s="55">
        <v>1.48</v>
      </c>
      <c r="BB91" s="56">
        <v>1.58</v>
      </c>
      <c r="BC91" s="65">
        <v>5.57</v>
      </c>
      <c r="BD91" s="66" t="s">
        <v>1185</v>
      </c>
      <c r="BG91" s="39" t="s">
        <v>386</v>
      </c>
      <c r="BH91" s="19" t="s">
        <v>137</v>
      </c>
      <c r="BI91" s="8">
        <v>20898.900000000001</v>
      </c>
      <c r="BJ91" s="8" t="s">
        <v>82</v>
      </c>
      <c r="BK91" s="15">
        <v>6.71</v>
      </c>
      <c r="BL91" s="22"/>
      <c r="BM91" s="22"/>
      <c r="BN91" s="22" t="s">
        <v>260</v>
      </c>
      <c r="BO91" s="22"/>
    </row>
    <row r="92" spans="1:67" x14ac:dyDescent="0.25">
      <c r="A92" s="73">
        <v>168</v>
      </c>
      <c r="B92" s="29" t="s">
        <v>810</v>
      </c>
      <c r="C92" s="8" t="s">
        <v>873</v>
      </c>
      <c r="D92" s="8">
        <v>2012</v>
      </c>
      <c r="E92" s="8" t="s">
        <v>96</v>
      </c>
      <c r="F92" s="8" t="s">
        <v>66</v>
      </c>
      <c r="G92" s="8" t="s">
        <v>245</v>
      </c>
      <c r="H92" s="8" t="s">
        <v>140</v>
      </c>
      <c r="I92" s="8" t="s">
        <v>123</v>
      </c>
      <c r="J92" s="8" t="s">
        <v>874</v>
      </c>
      <c r="K92" s="8" t="s">
        <v>69</v>
      </c>
      <c r="L92" s="8">
        <v>417</v>
      </c>
      <c r="M92" s="8" t="s">
        <v>70</v>
      </c>
      <c r="N92" s="2" t="s">
        <v>573</v>
      </c>
      <c r="O92">
        <v>274</v>
      </c>
      <c r="P92" s="8">
        <v>234</v>
      </c>
      <c r="Q92" s="8" t="s">
        <v>875</v>
      </c>
      <c r="U92" t="s">
        <v>128</v>
      </c>
      <c r="V92" t="s">
        <v>75</v>
      </c>
      <c r="AG92" s="8" t="s">
        <v>876</v>
      </c>
      <c r="AH92" t="s">
        <v>877</v>
      </c>
      <c r="AI92" s="15" t="s">
        <v>878</v>
      </c>
      <c r="AJ92" s="8">
        <v>2010</v>
      </c>
      <c r="AK92" s="8" t="s">
        <v>212</v>
      </c>
      <c r="AL92" s="13"/>
      <c r="AQ92" s="8">
        <v>41.23</v>
      </c>
      <c r="AR92" s="58">
        <v>69.040000000000006</v>
      </c>
      <c r="AS92" s="55">
        <v>95.78</v>
      </c>
      <c r="AT92" s="55">
        <v>0.26</v>
      </c>
      <c r="AU92" s="55">
        <v>0.87</v>
      </c>
      <c r="AV92" s="56">
        <v>3.09</v>
      </c>
      <c r="AW92" s="54">
        <v>19.43</v>
      </c>
      <c r="AX92" s="48">
        <f t="shared" si="1"/>
        <v>76.19</v>
      </c>
      <c r="AY92" s="55">
        <v>95.62</v>
      </c>
      <c r="AZ92" s="55">
        <v>2.79</v>
      </c>
      <c r="BA92" s="55">
        <v>0.84</v>
      </c>
      <c r="BB92" s="56">
        <v>0.76</v>
      </c>
      <c r="BC92" s="65">
        <v>16.27</v>
      </c>
      <c r="BD92" s="66" t="s">
        <v>1188</v>
      </c>
      <c r="BG92" s="39" t="s">
        <v>247</v>
      </c>
      <c r="BH92" s="19" t="s">
        <v>137</v>
      </c>
      <c r="BI92" s="8">
        <v>16732.2</v>
      </c>
      <c r="BJ92" s="8" t="s">
        <v>82</v>
      </c>
      <c r="BK92" s="15">
        <v>14.77</v>
      </c>
      <c r="BL92" s="21">
        <v>40.29</v>
      </c>
      <c r="BM92" s="21">
        <v>2016</v>
      </c>
      <c r="BN92" s="21" t="s">
        <v>138</v>
      </c>
      <c r="BO92" s="21">
        <v>6</v>
      </c>
    </row>
    <row r="93" spans="1:67" x14ac:dyDescent="0.25">
      <c r="A93" s="73">
        <v>169</v>
      </c>
      <c r="B93" s="29" t="s">
        <v>810</v>
      </c>
      <c r="C93" s="8" t="s">
        <v>879</v>
      </c>
      <c r="D93" s="8">
        <v>2016</v>
      </c>
      <c r="E93" s="8" t="s">
        <v>880</v>
      </c>
      <c r="F93" s="8" t="s">
        <v>428</v>
      </c>
      <c r="G93" s="8" t="s">
        <v>272</v>
      </c>
      <c r="H93" s="8" t="s">
        <v>140</v>
      </c>
      <c r="I93" s="8" t="s">
        <v>68</v>
      </c>
      <c r="J93" s="8" t="s">
        <v>881</v>
      </c>
      <c r="K93" s="8" t="s">
        <v>69</v>
      </c>
      <c r="L93" s="8">
        <v>260</v>
      </c>
      <c r="M93" s="8" t="s">
        <v>76</v>
      </c>
      <c r="N93" s="2" t="s">
        <v>573</v>
      </c>
      <c r="O93">
        <v>88</v>
      </c>
      <c r="P93" s="8">
        <v>69</v>
      </c>
      <c r="Q93" s="8" t="s">
        <v>882</v>
      </c>
      <c r="U93" t="s">
        <v>128</v>
      </c>
      <c r="V93" t="s">
        <v>75</v>
      </c>
      <c r="AG93" s="8" t="s">
        <v>883</v>
      </c>
      <c r="AH93" t="s">
        <v>884</v>
      </c>
      <c r="AI93" s="8" t="s">
        <v>885</v>
      </c>
      <c r="AJ93" s="8">
        <v>2013</v>
      </c>
      <c r="AK93" s="8" t="s">
        <v>79</v>
      </c>
      <c r="AL93" s="8">
        <v>94.99</v>
      </c>
      <c r="AQ93" s="8">
        <v>74.56</v>
      </c>
      <c r="AR93" s="54">
        <v>75.72</v>
      </c>
      <c r="AS93" s="55">
        <v>94.46</v>
      </c>
      <c r="AT93" s="55">
        <v>2.06</v>
      </c>
      <c r="AU93" s="55">
        <v>0.22</v>
      </c>
      <c r="AV93" s="56">
        <v>3.26</v>
      </c>
      <c r="AW93" s="54">
        <v>42.08</v>
      </c>
      <c r="AX93" s="48">
        <f t="shared" si="1"/>
        <v>25.97</v>
      </c>
      <c r="AY93" s="55">
        <v>68.05</v>
      </c>
      <c r="AZ93" s="55">
        <v>17.309999999999999</v>
      </c>
      <c r="BA93" s="55">
        <v>3.4</v>
      </c>
      <c r="BB93" s="56">
        <v>11.24</v>
      </c>
      <c r="BC93" s="65">
        <v>12.04</v>
      </c>
      <c r="BD93" s="66" t="s">
        <v>1189</v>
      </c>
      <c r="BG93" s="39" t="s">
        <v>273</v>
      </c>
      <c r="BH93" s="19" t="s">
        <v>137</v>
      </c>
      <c r="BI93" s="8">
        <v>5567.5</v>
      </c>
      <c r="BJ93" s="8" t="s">
        <v>82</v>
      </c>
      <c r="BL93" s="21">
        <v>75.11</v>
      </c>
      <c r="BM93" s="21">
        <v>2017</v>
      </c>
      <c r="BN93" s="21" t="s">
        <v>138</v>
      </c>
      <c r="BO93" s="21">
        <v>5</v>
      </c>
    </row>
    <row r="94" spans="1:67" x14ac:dyDescent="0.25">
      <c r="A94" s="73">
        <v>170</v>
      </c>
      <c r="B94" s="29" t="s">
        <v>810</v>
      </c>
      <c r="C94" s="8" t="s">
        <v>270</v>
      </c>
      <c r="D94" s="8">
        <v>2014</v>
      </c>
      <c r="E94" s="8" t="s">
        <v>886</v>
      </c>
      <c r="F94" s="8" t="s">
        <v>66</v>
      </c>
      <c r="G94" s="8" t="s">
        <v>272</v>
      </c>
      <c r="H94" s="8" t="s">
        <v>140</v>
      </c>
      <c r="J94" s="8" t="s">
        <v>887</v>
      </c>
      <c r="K94" s="8" t="s">
        <v>69</v>
      </c>
      <c r="L94" s="8">
        <v>115</v>
      </c>
      <c r="M94" t="s">
        <v>888</v>
      </c>
      <c r="N94" s="2" t="s">
        <v>509</v>
      </c>
      <c r="O94">
        <v>22</v>
      </c>
      <c r="P94" s="8">
        <v>22</v>
      </c>
      <c r="Q94" s="8" t="s">
        <v>889</v>
      </c>
      <c r="U94" t="s">
        <v>128</v>
      </c>
      <c r="AG94" s="8" t="s">
        <v>890</v>
      </c>
      <c r="AH94" s="1" t="s">
        <v>891</v>
      </c>
      <c r="AI94" s="15" t="s">
        <v>892</v>
      </c>
      <c r="AJ94" s="8">
        <v>2007</v>
      </c>
      <c r="AK94" s="8" t="s">
        <v>765</v>
      </c>
      <c r="AL94" s="8">
        <v>62.57</v>
      </c>
      <c r="AQ94" s="8">
        <v>45.26</v>
      </c>
      <c r="AR94" s="54">
        <v>48.32</v>
      </c>
      <c r="AS94" s="55">
        <v>84.26</v>
      </c>
      <c r="AT94" s="55">
        <v>4.28</v>
      </c>
      <c r="AU94" s="55">
        <v>1.07</v>
      </c>
      <c r="AV94" s="56">
        <v>10.39</v>
      </c>
      <c r="AW94" s="54">
        <v>23.93</v>
      </c>
      <c r="AX94" s="48">
        <f t="shared" si="1"/>
        <v>10.009999999999998</v>
      </c>
      <c r="AY94" s="55">
        <v>33.94</v>
      </c>
      <c r="AZ94" s="55">
        <v>8.8000000000000007</v>
      </c>
      <c r="BA94" s="55">
        <v>4.3499999999999996</v>
      </c>
      <c r="BB94" s="56">
        <v>52.92</v>
      </c>
      <c r="BC94" s="38">
        <v>8.3000000000000007</v>
      </c>
      <c r="BD94" s="15" t="s">
        <v>1219</v>
      </c>
      <c r="BG94" s="39" t="s">
        <v>273</v>
      </c>
      <c r="BH94" s="19" t="s">
        <v>137</v>
      </c>
      <c r="BI94" s="8">
        <v>4253.8</v>
      </c>
      <c r="BJ94" s="8" t="s">
        <v>82</v>
      </c>
      <c r="BL94" s="21">
        <v>75.11</v>
      </c>
      <c r="BM94" s="21">
        <v>2017</v>
      </c>
      <c r="BN94" s="21" t="s">
        <v>138</v>
      </c>
      <c r="BO94" s="21">
        <v>11</v>
      </c>
    </row>
    <row r="95" spans="1:67" x14ac:dyDescent="0.25">
      <c r="A95" s="73">
        <v>171</v>
      </c>
      <c r="B95" s="29" t="s">
        <v>810</v>
      </c>
      <c r="C95" s="8" t="s">
        <v>893</v>
      </c>
      <c r="D95" s="8">
        <v>2018</v>
      </c>
      <c r="E95" s="8" t="s">
        <v>170</v>
      </c>
      <c r="F95" s="8" t="s">
        <v>66</v>
      </c>
      <c r="G95" s="8" t="s">
        <v>276</v>
      </c>
      <c r="H95" s="8" t="s">
        <v>140</v>
      </c>
      <c r="J95" s="8" t="s">
        <v>894</v>
      </c>
      <c r="K95" s="8" t="s">
        <v>69</v>
      </c>
      <c r="L95" s="8">
        <v>510</v>
      </c>
      <c r="N95" s="2" t="s">
        <v>573</v>
      </c>
      <c r="O95">
        <v>50</v>
      </c>
      <c r="P95" s="8">
        <v>34</v>
      </c>
      <c r="Q95" s="8" t="s">
        <v>895</v>
      </c>
      <c r="U95" t="s">
        <v>896</v>
      </c>
      <c r="AG95" s="8" t="s">
        <v>897</v>
      </c>
      <c r="AH95" t="s">
        <v>898</v>
      </c>
      <c r="AI95" s="8" t="s">
        <v>899</v>
      </c>
      <c r="AJ95" s="8">
        <v>2016</v>
      </c>
      <c r="AK95" s="8" t="s">
        <v>765</v>
      </c>
      <c r="AL95" s="8">
        <v>23.96</v>
      </c>
      <c r="AQ95" s="8">
        <v>51.12</v>
      </c>
      <c r="AR95" s="54">
        <v>23.96</v>
      </c>
      <c r="AS95" s="55">
        <v>89.28</v>
      </c>
      <c r="AT95" s="55">
        <v>2.69</v>
      </c>
      <c r="AU95" s="55">
        <v>1.5</v>
      </c>
      <c r="AV95" s="56">
        <v>6.53</v>
      </c>
      <c r="AW95" s="54">
        <v>36.29</v>
      </c>
      <c r="AX95" s="48">
        <f t="shared" si="1"/>
        <v>23.310000000000002</v>
      </c>
      <c r="AY95" s="55">
        <v>59.6</v>
      </c>
      <c r="AZ95" s="55">
        <v>15.19</v>
      </c>
      <c r="BA95" s="55">
        <v>3.31</v>
      </c>
      <c r="BB95" s="56">
        <v>21.91</v>
      </c>
      <c r="BC95" s="67">
        <v>40.54</v>
      </c>
      <c r="BD95" s="14" t="s">
        <v>1220</v>
      </c>
      <c r="BG95" s="39" t="s">
        <v>273</v>
      </c>
      <c r="BH95" s="19" t="s">
        <v>137</v>
      </c>
      <c r="BI95" s="8">
        <v>3743.7</v>
      </c>
      <c r="BJ95" s="8" t="s">
        <v>82</v>
      </c>
      <c r="BL95" s="21">
        <v>65.33</v>
      </c>
      <c r="BM95" s="21">
        <v>2018</v>
      </c>
      <c r="BN95" s="21" t="s">
        <v>138</v>
      </c>
      <c r="BO95" s="21">
        <v>2</v>
      </c>
    </row>
    <row r="96" spans="1:67" x14ac:dyDescent="0.25">
      <c r="A96" s="73">
        <v>172</v>
      </c>
      <c r="B96" s="29" t="s">
        <v>810</v>
      </c>
      <c r="C96" s="8" t="s">
        <v>431</v>
      </c>
      <c r="D96" s="8">
        <v>2014</v>
      </c>
      <c r="E96" s="8" t="s">
        <v>900</v>
      </c>
      <c r="F96" s="8" t="s">
        <v>428</v>
      </c>
      <c r="G96" s="8" t="s">
        <v>101</v>
      </c>
      <c r="H96" s="8" t="s">
        <v>140</v>
      </c>
      <c r="J96" s="8" t="s">
        <v>901</v>
      </c>
      <c r="L96" s="8">
        <v>179</v>
      </c>
      <c r="O96" s="19">
        <v>5</v>
      </c>
      <c r="P96" s="8">
        <v>5</v>
      </c>
      <c r="Q96" s="8" t="s">
        <v>902</v>
      </c>
      <c r="U96" t="s">
        <v>128</v>
      </c>
      <c r="W96" s="4"/>
      <c r="X96" s="4"/>
      <c r="Y96" s="4"/>
      <c r="Z96" s="4"/>
      <c r="AA96" s="4"/>
      <c r="AB96" s="4"/>
      <c r="AC96" s="4"/>
      <c r="AD96" s="4"/>
      <c r="AE96" s="4"/>
      <c r="AF96" s="4"/>
      <c r="AG96" s="8" t="s">
        <v>903</v>
      </c>
      <c r="AI96" s="8" t="s">
        <v>904</v>
      </c>
      <c r="AJ96" s="8">
        <v>2013</v>
      </c>
      <c r="AK96" s="8" t="s">
        <v>765</v>
      </c>
      <c r="AL96" s="8">
        <v>96.7</v>
      </c>
      <c r="AQ96" s="8">
        <v>100</v>
      </c>
      <c r="AR96" s="54">
        <v>96.7</v>
      </c>
      <c r="AS96" s="55">
        <v>100</v>
      </c>
      <c r="AT96" s="55">
        <v>0</v>
      </c>
      <c r="AU96" s="55">
        <v>0</v>
      </c>
      <c r="AV96" s="56">
        <v>0</v>
      </c>
      <c r="AW96" s="54">
        <v>98.39</v>
      </c>
      <c r="AX96" s="48">
        <f t="shared" si="1"/>
        <v>1.5</v>
      </c>
      <c r="AY96" s="55">
        <v>99.89</v>
      </c>
      <c r="AZ96" s="55">
        <v>0.1</v>
      </c>
      <c r="BA96" s="55">
        <v>0.01</v>
      </c>
      <c r="BB96" s="56">
        <v>0</v>
      </c>
      <c r="BC96" s="65">
        <v>12.5</v>
      </c>
      <c r="BD96" s="66" t="s">
        <v>1189</v>
      </c>
      <c r="BG96" s="39" t="s">
        <v>88</v>
      </c>
      <c r="BH96" s="19" t="s">
        <v>137</v>
      </c>
      <c r="BI96" s="8">
        <v>77084.7</v>
      </c>
      <c r="BJ96" s="8" t="s">
        <v>82</v>
      </c>
      <c r="BL96" s="31">
        <v>9.16</v>
      </c>
      <c r="BM96" s="31">
        <v>2016</v>
      </c>
      <c r="BN96" s="31" t="s">
        <v>138</v>
      </c>
      <c r="BO96" s="31">
        <v>3.5</v>
      </c>
    </row>
    <row r="97" spans="1:67" x14ac:dyDescent="0.25">
      <c r="A97" s="73">
        <v>173</v>
      </c>
      <c r="B97" s="29" t="s">
        <v>810</v>
      </c>
      <c r="C97" s="8" t="s">
        <v>576</v>
      </c>
      <c r="D97" s="8">
        <v>2009</v>
      </c>
      <c r="E97" s="8" t="s">
        <v>905</v>
      </c>
      <c r="F97" s="8" t="s">
        <v>906</v>
      </c>
      <c r="G97" s="8" t="s">
        <v>104</v>
      </c>
      <c r="H97" s="8" t="s">
        <v>140</v>
      </c>
      <c r="I97" s="8" t="s">
        <v>68</v>
      </c>
      <c r="J97" s="8" t="s">
        <v>857</v>
      </c>
      <c r="K97" s="8" t="s">
        <v>586</v>
      </c>
      <c r="L97" s="8">
        <v>112</v>
      </c>
      <c r="M97" t="s">
        <v>907</v>
      </c>
      <c r="N97" s="2" t="s">
        <v>509</v>
      </c>
      <c r="O97">
        <v>3</v>
      </c>
      <c r="P97" s="8">
        <v>3</v>
      </c>
      <c r="Q97" s="8" t="s">
        <v>908</v>
      </c>
      <c r="U97" t="s">
        <v>128</v>
      </c>
      <c r="AG97" s="8" t="s">
        <v>909</v>
      </c>
      <c r="AH97" t="s">
        <v>910</v>
      </c>
      <c r="AI97" s="15" t="s">
        <v>911</v>
      </c>
      <c r="AJ97" s="8">
        <v>2008</v>
      </c>
      <c r="AK97" s="8" t="s">
        <v>79</v>
      </c>
      <c r="AL97" s="8">
        <v>98.47</v>
      </c>
      <c r="AQ97" s="8">
        <v>99.28</v>
      </c>
      <c r="AR97" s="54">
        <v>97</v>
      </c>
      <c r="AS97" s="55">
        <v>99.35</v>
      </c>
      <c r="AT97" s="55">
        <v>0</v>
      </c>
      <c r="AU97" s="55">
        <v>0</v>
      </c>
      <c r="AV97" s="56">
        <v>0.65</v>
      </c>
      <c r="AW97" s="54">
        <v>68.42</v>
      </c>
      <c r="AX97" s="48">
        <f t="shared" si="1"/>
        <v>30.539999999999992</v>
      </c>
      <c r="AY97" s="55">
        <v>98.96</v>
      </c>
      <c r="AZ97" s="55">
        <v>0.4</v>
      </c>
      <c r="BA97" s="55">
        <v>0.64</v>
      </c>
      <c r="BB97" s="56">
        <v>0</v>
      </c>
      <c r="BC97" s="38">
        <v>24.8</v>
      </c>
      <c r="BD97" s="15" t="s">
        <v>1219</v>
      </c>
      <c r="BG97" s="39" t="s">
        <v>80</v>
      </c>
      <c r="BH97" s="19" t="s">
        <v>137</v>
      </c>
      <c r="BI97" s="8">
        <v>37291.5</v>
      </c>
      <c r="BJ97" s="8" t="s">
        <v>82</v>
      </c>
      <c r="BL97" s="22"/>
      <c r="BM97" s="22"/>
      <c r="BN97" s="22" t="s">
        <v>260</v>
      </c>
      <c r="BO97" s="22"/>
    </row>
    <row r="98" spans="1:67" x14ac:dyDescent="0.25">
      <c r="A98" s="73">
        <v>174</v>
      </c>
      <c r="B98" s="29" t="s">
        <v>810</v>
      </c>
      <c r="C98" s="8" t="s">
        <v>912</v>
      </c>
      <c r="D98" s="8">
        <v>2011</v>
      </c>
      <c r="E98" s="8" t="s">
        <v>913</v>
      </c>
      <c r="F98" s="8" t="s">
        <v>906</v>
      </c>
      <c r="G98" s="8" t="s">
        <v>914</v>
      </c>
      <c r="H98" s="8" t="s">
        <v>140</v>
      </c>
      <c r="I98" s="8" t="s">
        <v>68</v>
      </c>
      <c r="J98" s="8" t="s">
        <v>915</v>
      </c>
      <c r="K98" s="8" t="s">
        <v>76</v>
      </c>
      <c r="L98" s="8">
        <v>632</v>
      </c>
      <c r="M98" t="s">
        <v>907</v>
      </c>
      <c r="N98" s="2" t="s">
        <v>573</v>
      </c>
      <c r="O98">
        <v>400</v>
      </c>
      <c r="P98" s="8">
        <v>285</v>
      </c>
      <c r="Q98" s="8" t="s">
        <v>916</v>
      </c>
      <c r="U98" t="s">
        <v>128</v>
      </c>
      <c r="AG98" s="8" t="s">
        <v>917</v>
      </c>
      <c r="AH98" s="1" t="s">
        <v>918</v>
      </c>
      <c r="AI98" s="15" t="s">
        <v>919</v>
      </c>
      <c r="AJ98" s="8">
        <v>2011</v>
      </c>
      <c r="AK98" s="8" t="s">
        <v>79</v>
      </c>
      <c r="AL98" s="13"/>
      <c r="AQ98" s="8">
        <v>98.56</v>
      </c>
      <c r="AR98" s="58">
        <v>96.84</v>
      </c>
      <c r="AS98" s="55">
        <v>99.2</v>
      </c>
      <c r="AT98" s="55">
        <v>0.18</v>
      </c>
      <c r="AU98" s="55">
        <v>0</v>
      </c>
      <c r="AV98" s="56">
        <v>0.62</v>
      </c>
      <c r="AW98" s="54">
        <v>37.57</v>
      </c>
      <c r="AX98" s="48">
        <f t="shared" si="1"/>
        <v>59.77</v>
      </c>
      <c r="AY98" s="55">
        <v>97.34</v>
      </c>
      <c r="AZ98" s="55">
        <v>2.1</v>
      </c>
      <c r="BA98" s="55">
        <v>0.16</v>
      </c>
      <c r="BB98" s="56">
        <v>0.4</v>
      </c>
      <c r="BC98" s="65">
        <v>15.6</v>
      </c>
      <c r="BD98" s="66" t="s">
        <v>1186</v>
      </c>
      <c r="BG98" s="39" t="s">
        <v>373</v>
      </c>
      <c r="BH98" s="19" t="s">
        <v>137</v>
      </c>
      <c r="BI98" s="8">
        <v>13082.4</v>
      </c>
      <c r="BJ98" s="8" t="s">
        <v>82</v>
      </c>
      <c r="BK98" s="15">
        <v>2.4</v>
      </c>
      <c r="BL98" s="21">
        <v>97.87</v>
      </c>
      <c r="BM98" s="21">
        <v>2018</v>
      </c>
      <c r="BN98" s="21" t="s">
        <v>138</v>
      </c>
      <c r="BO98" s="21">
        <v>7.5</v>
      </c>
    </row>
    <row r="99" spans="1:67" s="4" customFormat="1" hidden="1" x14ac:dyDescent="0.25">
      <c r="A99" s="74">
        <v>175</v>
      </c>
      <c r="B99" s="30" t="s">
        <v>810</v>
      </c>
      <c r="C99" s="10" t="s">
        <v>920</v>
      </c>
      <c r="D99" s="10">
        <v>2018</v>
      </c>
      <c r="E99" s="10" t="s">
        <v>921</v>
      </c>
      <c r="F99" s="10" t="s">
        <v>906</v>
      </c>
      <c r="G99" s="10" t="s">
        <v>434</v>
      </c>
      <c r="H99" s="10" t="s">
        <v>140</v>
      </c>
      <c r="J99" s="10" t="s">
        <v>922</v>
      </c>
      <c r="L99" s="10">
        <v>100</v>
      </c>
      <c r="O99" s="19">
        <v>48</v>
      </c>
      <c r="P99" s="10">
        <v>48</v>
      </c>
      <c r="Q99" s="10" t="s">
        <v>91</v>
      </c>
      <c r="U99" s="4" t="s">
        <v>923</v>
      </c>
      <c r="AG99" s="10" t="s">
        <v>897</v>
      </c>
      <c r="AH99" s="4" t="s">
        <v>924</v>
      </c>
      <c r="AI99" s="15" t="s">
        <v>925</v>
      </c>
      <c r="AJ99" s="8">
        <v>2015</v>
      </c>
      <c r="AK99" s="8" t="s">
        <v>765</v>
      </c>
      <c r="AL99" s="8">
        <v>96.54</v>
      </c>
      <c r="AQ99" s="8">
        <v>97.56</v>
      </c>
      <c r="AR99" s="54">
        <v>93.19</v>
      </c>
      <c r="AS99" s="55">
        <v>96.75</v>
      </c>
      <c r="AT99" s="55">
        <v>1.99</v>
      </c>
      <c r="AU99" s="55">
        <v>0.08</v>
      </c>
      <c r="AV99" s="56">
        <v>1.18</v>
      </c>
      <c r="AW99" s="59"/>
      <c r="AX99" s="48">
        <f t="shared" si="1"/>
        <v>88.18</v>
      </c>
      <c r="AY99" s="55">
        <v>88.18</v>
      </c>
      <c r="AZ99" s="55">
        <v>9.67</v>
      </c>
      <c r="BA99" s="55">
        <v>1.74</v>
      </c>
      <c r="BB99" s="56">
        <v>0.41</v>
      </c>
      <c r="BC99" s="38"/>
      <c r="BD99" s="15"/>
      <c r="BE99" s="40"/>
      <c r="BG99" s="39" t="s">
        <v>273</v>
      </c>
      <c r="BH99" s="18" t="s">
        <v>81</v>
      </c>
      <c r="BI99" s="8">
        <v>14841.9</v>
      </c>
      <c r="BJ99" s="8" t="s">
        <v>82</v>
      </c>
    </row>
    <row r="100" spans="1:67" x14ac:dyDescent="0.25">
      <c r="A100" s="73">
        <v>176</v>
      </c>
      <c r="B100" s="29" t="s">
        <v>810</v>
      </c>
      <c r="C100" s="8" t="s">
        <v>926</v>
      </c>
      <c r="D100" s="8">
        <v>2015</v>
      </c>
      <c r="E100" s="8" t="s">
        <v>250</v>
      </c>
      <c r="F100" s="8" t="s">
        <v>906</v>
      </c>
      <c r="G100" s="8" t="s">
        <v>927</v>
      </c>
      <c r="H100" s="8" t="s">
        <v>140</v>
      </c>
      <c r="I100" s="8" t="s">
        <v>68</v>
      </c>
      <c r="J100" s="8" t="s">
        <v>928</v>
      </c>
      <c r="K100" s="8" t="s">
        <v>69</v>
      </c>
      <c r="L100" s="8">
        <v>93</v>
      </c>
      <c r="M100" s="8" t="s">
        <v>907</v>
      </c>
      <c r="N100" s="2" t="s">
        <v>573</v>
      </c>
      <c r="O100">
        <v>4</v>
      </c>
      <c r="P100" s="8">
        <v>1</v>
      </c>
      <c r="Q100" s="8" t="s">
        <v>929</v>
      </c>
      <c r="U100" t="s">
        <v>128</v>
      </c>
      <c r="V100" t="s">
        <v>930</v>
      </c>
      <c r="AG100" s="8" t="s">
        <v>931</v>
      </c>
      <c r="AH100" t="s">
        <v>932</v>
      </c>
      <c r="AI100" s="8" t="s">
        <v>933</v>
      </c>
      <c r="AJ100" s="8">
        <v>2013</v>
      </c>
      <c r="AK100" s="8" t="s">
        <v>79</v>
      </c>
      <c r="AL100" s="8">
        <v>89.2</v>
      </c>
      <c r="AQ100" s="8">
        <v>94.89</v>
      </c>
      <c r="AR100" s="54">
        <v>79.45</v>
      </c>
      <c r="AS100" s="55">
        <v>95.94</v>
      </c>
      <c r="AT100" s="55">
        <v>1.66</v>
      </c>
      <c r="AU100" s="55">
        <v>0.06</v>
      </c>
      <c r="AV100" s="56">
        <v>2.34</v>
      </c>
      <c r="AW100" s="54">
        <v>39.24</v>
      </c>
      <c r="AX100" s="48">
        <f t="shared" si="1"/>
        <v>52.639999999999993</v>
      </c>
      <c r="AY100" s="55">
        <v>91.88</v>
      </c>
      <c r="AZ100" s="55">
        <v>5.99</v>
      </c>
      <c r="BA100" s="55">
        <v>1.36</v>
      </c>
      <c r="BB100" s="56">
        <v>0.77</v>
      </c>
      <c r="BC100" s="65">
        <v>25</v>
      </c>
      <c r="BD100" s="66" t="s">
        <v>1189</v>
      </c>
      <c r="BG100" s="39" t="s">
        <v>373</v>
      </c>
      <c r="BH100" s="19" t="s">
        <v>137</v>
      </c>
      <c r="BI100" s="8">
        <v>7839</v>
      </c>
      <c r="BJ100" s="8" t="s">
        <v>82</v>
      </c>
      <c r="BL100" s="21">
        <v>35.869999999999997</v>
      </c>
      <c r="BM100" s="21">
        <v>2021</v>
      </c>
      <c r="BN100" s="21" t="s">
        <v>138</v>
      </c>
      <c r="BO100" s="21">
        <v>8</v>
      </c>
    </row>
    <row r="101" spans="1:67" x14ac:dyDescent="0.25">
      <c r="A101" s="73">
        <v>177</v>
      </c>
      <c r="B101" s="29" t="s">
        <v>810</v>
      </c>
      <c r="C101" s="8" t="s">
        <v>934</v>
      </c>
      <c r="D101" s="8">
        <v>2005</v>
      </c>
      <c r="E101" s="8" t="s">
        <v>789</v>
      </c>
      <c r="F101" s="8" t="s">
        <v>428</v>
      </c>
      <c r="G101" s="8" t="s">
        <v>935</v>
      </c>
      <c r="H101" s="8" t="s">
        <v>140</v>
      </c>
      <c r="I101" s="8" t="s">
        <v>68</v>
      </c>
      <c r="J101" s="8" t="s">
        <v>936</v>
      </c>
      <c r="K101" s="8" t="s">
        <v>76</v>
      </c>
      <c r="L101" s="8">
        <v>382</v>
      </c>
      <c r="M101" t="s">
        <v>937</v>
      </c>
      <c r="N101" s="2" t="s">
        <v>573</v>
      </c>
      <c r="O101">
        <v>9</v>
      </c>
      <c r="P101" s="8">
        <v>9</v>
      </c>
      <c r="Q101" s="8" t="s">
        <v>938</v>
      </c>
      <c r="U101" t="s">
        <v>128</v>
      </c>
      <c r="AG101" s="8" t="s">
        <v>897</v>
      </c>
      <c r="AH101" s="1" t="s">
        <v>939</v>
      </c>
      <c r="AI101" s="15" t="s">
        <v>940</v>
      </c>
      <c r="AJ101" s="12">
        <v>2003</v>
      </c>
      <c r="AK101" s="12" t="s">
        <v>765</v>
      </c>
      <c r="AL101" s="12">
        <v>44.14</v>
      </c>
      <c r="AQ101" s="12">
        <v>81.2</v>
      </c>
      <c r="AR101" s="57">
        <v>44.14</v>
      </c>
      <c r="AS101" s="51">
        <v>85.69</v>
      </c>
      <c r="AT101" s="51">
        <v>6.85</v>
      </c>
      <c r="AU101" s="51">
        <v>0.15</v>
      </c>
      <c r="AV101" s="52">
        <v>7.32</v>
      </c>
      <c r="AW101" s="57">
        <v>18.350000000000001</v>
      </c>
      <c r="AX101" s="48">
        <f t="shared" si="1"/>
        <v>59.88</v>
      </c>
      <c r="AY101" s="51">
        <v>78.23</v>
      </c>
      <c r="AZ101" s="51">
        <v>0.63</v>
      </c>
      <c r="BA101" s="51">
        <v>21.06</v>
      </c>
      <c r="BB101" s="52">
        <v>7.0000000000000007E-2</v>
      </c>
      <c r="BC101" s="38">
        <v>13.6</v>
      </c>
      <c r="BD101" s="15" t="s">
        <v>1221</v>
      </c>
      <c r="BG101" s="39" t="s">
        <v>374</v>
      </c>
      <c r="BH101" s="19" t="s">
        <v>137</v>
      </c>
      <c r="BI101" s="8">
        <v>12272.3</v>
      </c>
      <c r="BJ101" s="8" t="s">
        <v>82</v>
      </c>
      <c r="BL101" s="21">
        <v>48.53</v>
      </c>
      <c r="BM101" s="21">
        <v>2016</v>
      </c>
      <c r="BN101" s="21" t="s">
        <v>138</v>
      </c>
      <c r="BO101" s="21">
        <v>13</v>
      </c>
    </row>
    <row r="102" spans="1:67" x14ac:dyDescent="0.25">
      <c r="A102" s="73">
        <v>178</v>
      </c>
      <c r="B102" s="29" t="s">
        <v>810</v>
      </c>
      <c r="C102" s="8" t="s">
        <v>941</v>
      </c>
      <c r="D102" s="8">
        <v>2016</v>
      </c>
      <c r="E102" s="8" t="s">
        <v>250</v>
      </c>
      <c r="F102" s="8" t="s">
        <v>906</v>
      </c>
      <c r="G102" s="8" t="s">
        <v>935</v>
      </c>
      <c r="H102" s="8" t="s">
        <v>140</v>
      </c>
      <c r="I102" s="8" t="s">
        <v>76</v>
      </c>
      <c r="J102" s="8" t="s">
        <v>942</v>
      </c>
      <c r="K102" s="8" t="s">
        <v>943</v>
      </c>
      <c r="L102" s="8">
        <v>117</v>
      </c>
      <c r="M102" s="8" t="s">
        <v>90</v>
      </c>
      <c r="N102" s="2" t="s">
        <v>573</v>
      </c>
      <c r="O102">
        <v>58</v>
      </c>
      <c r="P102" s="8">
        <v>45</v>
      </c>
      <c r="Q102" s="8" t="s">
        <v>944</v>
      </c>
      <c r="U102" t="s">
        <v>128</v>
      </c>
      <c r="AG102" s="8" t="s">
        <v>897</v>
      </c>
      <c r="AH102" t="s">
        <v>945</v>
      </c>
      <c r="AI102" s="8" t="s">
        <v>946</v>
      </c>
      <c r="AJ102" s="8">
        <v>2013</v>
      </c>
      <c r="AK102" s="8" t="s">
        <v>765</v>
      </c>
      <c r="AL102" s="8">
        <v>46.5</v>
      </c>
      <c r="AQ102" s="8">
        <v>86.19</v>
      </c>
      <c r="AR102" s="54">
        <v>46.5</v>
      </c>
      <c r="AS102" s="55">
        <v>90.27</v>
      </c>
      <c r="AT102" s="55">
        <v>7.21</v>
      </c>
      <c r="AU102" s="55">
        <v>0.15</v>
      </c>
      <c r="AV102" s="56">
        <v>2.37</v>
      </c>
      <c r="AW102" s="54">
        <v>23.29</v>
      </c>
      <c r="AX102" s="48">
        <f t="shared" si="1"/>
        <v>68.03</v>
      </c>
      <c r="AY102" s="55">
        <v>91.32</v>
      </c>
      <c r="AZ102" s="55">
        <v>0.74</v>
      </c>
      <c r="BA102" s="55">
        <v>7.83</v>
      </c>
      <c r="BB102" s="56">
        <v>0.11</v>
      </c>
      <c r="BC102" s="65">
        <v>18.850000000000001</v>
      </c>
      <c r="BD102" s="66" t="s">
        <v>1189</v>
      </c>
      <c r="BG102" s="39" t="s">
        <v>374</v>
      </c>
      <c r="BH102" s="19" t="s">
        <v>137</v>
      </c>
      <c r="BI102" s="8">
        <v>16396.5</v>
      </c>
      <c r="BJ102" s="8" t="s">
        <v>82</v>
      </c>
      <c r="BL102" s="21">
        <v>48.53</v>
      </c>
      <c r="BM102" s="21">
        <v>2016</v>
      </c>
      <c r="BN102" s="21" t="s">
        <v>138</v>
      </c>
      <c r="BO102" s="21">
        <v>3</v>
      </c>
    </row>
    <row r="103" spans="1:67" x14ac:dyDescent="0.25">
      <c r="A103" s="73" t="s">
        <v>947</v>
      </c>
      <c r="B103" s="29" t="s">
        <v>810</v>
      </c>
      <c r="C103" s="8" t="s">
        <v>948</v>
      </c>
      <c r="D103" s="8">
        <v>2016</v>
      </c>
      <c r="E103" s="8" t="s">
        <v>250</v>
      </c>
      <c r="F103" s="8" t="s">
        <v>906</v>
      </c>
      <c r="G103" s="8" t="s">
        <v>372</v>
      </c>
      <c r="H103" s="8" t="s">
        <v>140</v>
      </c>
      <c r="I103" s="8" t="s">
        <v>68</v>
      </c>
      <c r="J103" s="8" t="s">
        <v>949</v>
      </c>
      <c r="K103" s="8" t="s">
        <v>586</v>
      </c>
      <c r="L103" s="8">
        <v>46</v>
      </c>
      <c r="M103" t="s">
        <v>90</v>
      </c>
      <c r="N103" s="2" t="s">
        <v>509</v>
      </c>
      <c r="O103">
        <v>7</v>
      </c>
      <c r="P103" s="8">
        <v>7</v>
      </c>
      <c r="Q103" s="8" t="s">
        <v>950</v>
      </c>
      <c r="U103" t="s">
        <v>128</v>
      </c>
      <c r="AG103" s="8" t="s">
        <v>951</v>
      </c>
      <c r="AH103" t="s">
        <v>952</v>
      </c>
      <c r="AI103" s="8" t="s">
        <v>953</v>
      </c>
      <c r="AJ103" s="8">
        <v>2013</v>
      </c>
      <c r="AK103" s="8" t="s">
        <v>79</v>
      </c>
      <c r="AL103" s="8">
        <v>88.13</v>
      </c>
      <c r="AQ103" s="8">
        <v>92.84</v>
      </c>
      <c r="AR103" s="54">
        <v>88.13</v>
      </c>
      <c r="AS103" s="55">
        <v>98.35</v>
      </c>
      <c r="AT103" s="55">
        <v>0.73</v>
      </c>
      <c r="AU103" s="55">
        <v>0.01</v>
      </c>
      <c r="AV103" s="56">
        <v>0.9</v>
      </c>
      <c r="AW103" s="54">
        <v>74.91</v>
      </c>
      <c r="AX103" s="48">
        <f t="shared" si="1"/>
        <v>20.980000000000004</v>
      </c>
      <c r="AY103" s="55">
        <v>95.89</v>
      </c>
      <c r="AZ103" s="55">
        <v>1.99</v>
      </c>
      <c r="BA103" s="55">
        <v>1.74</v>
      </c>
      <c r="BB103" s="56">
        <v>0.38</v>
      </c>
      <c r="BC103" s="65">
        <v>49.33</v>
      </c>
      <c r="BD103" s="66" t="s">
        <v>1189</v>
      </c>
      <c r="BG103" s="39" t="s">
        <v>373</v>
      </c>
      <c r="BH103" s="19" t="s">
        <v>137</v>
      </c>
      <c r="BI103" s="8">
        <v>12588</v>
      </c>
      <c r="BJ103" s="8" t="s">
        <v>82</v>
      </c>
      <c r="BL103" s="21">
        <v>25.46</v>
      </c>
      <c r="BM103" s="21">
        <v>2016</v>
      </c>
      <c r="BN103" s="21" t="s">
        <v>138</v>
      </c>
      <c r="BO103" s="21">
        <v>3</v>
      </c>
    </row>
    <row r="104" spans="1:67" x14ac:dyDescent="0.25">
      <c r="A104" s="73" t="s">
        <v>954</v>
      </c>
      <c r="B104" s="29" t="s">
        <v>810</v>
      </c>
      <c r="C104" s="8" t="s">
        <v>948</v>
      </c>
      <c r="D104" s="8">
        <v>2016</v>
      </c>
      <c r="E104" s="8" t="s">
        <v>250</v>
      </c>
      <c r="F104" s="8" t="s">
        <v>906</v>
      </c>
      <c r="G104" s="8" t="s">
        <v>372</v>
      </c>
      <c r="H104" s="8" t="s">
        <v>140</v>
      </c>
      <c r="I104" s="8" t="s">
        <v>123</v>
      </c>
      <c r="J104" s="8" t="s">
        <v>949</v>
      </c>
      <c r="K104" s="8" t="s">
        <v>586</v>
      </c>
      <c r="L104" s="8">
        <v>59</v>
      </c>
      <c r="M104" t="s">
        <v>90</v>
      </c>
      <c r="N104" s="2" t="s">
        <v>509</v>
      </c>
      <c r="O104">
        <v>0</v>
      </c>
      <c r="P104" s="8">
        <v>0</v>
      </c>
      <c r="Q104" s="11">
        <v>0</v>
      </c>
      <c r="U104" t="s">
        <v>128</v>
      </c>
      <c r="AG104" s="8" t="s">
        <v>951</v>
      </c>
      <c r="AH104" t="s">
        <v>952</v>
      </c>
      <c r="AI104" s="8" t="s">
        <v>955</v>
      </c>
      <c r="AJ104" s="8">
        <v>2013</v>
      </c>
      <c r="AK104" s="8" t="s">
        <v>212</v>
      </c>
      <c r="AL104" s="8">
        <v>64.709999999999994</v>
      </c>
      <c r="AQ104" s="8">
        <v>67.55</v>
      </c>
      <c r="AR104" s="54">
        <v>61.56</v>
      </c>
      <c r="AS104" s="55">
        <v>79.209999999999994</v>
      </c>
      <c r="AT104" s="55">
        <v>11.1</v>
      </c>
      <c r="AU104" s="55">
        <v>0.7</v>
      </c>
      <c r="AV104" s="56">
        <v>8.98</v>
      </c>
      <c r="AW104" s="54">
        <v>49.34</v>
      </c>
      <c r="AX104" s="48">
        <f t="shared" si="1"/>
        <v>25.879999999999995</v>
      </c>
      <c r="AY104" s="55">
        <v>75.22</v>
      </c>
      <c r="AZ104" s="55">
        <v>8.91</v>
      </c>
      <c r="BA104" s="55">
        <v>7.71</v>
      </c>
      <c r="BB104" s="56">
        <v>8.16</v>
      </c>
      <c r="BC104" s="65">
        <v>49.33</v>
      </c>
      <c r="BD104" s="66" t="s">
        <v>1189</v>
      </c>
      <c r="BG104" s="39" t="s">
        <v>373</v>
      </c>
      <c r="BH104" s="19" t="s">
        <v>137</v>
      </c>
      <c r="BI104" s="8">
        <v>12588</v>
      </c>
      <c r="BJ104" s="8" t="s">
        <v>82</v>
      </c>
      <c r="BL104" s="21">
        <v>25.46</v>
      </c>
      <c r="BM104" s="21">
        <v>2016</v>
      </c>
      <c r="BN104" s="21" t="s">
        <v>138</v>
      </c>
      <c r="BO104" s="21">
        <v>3</v>
      </c>
    </row>
    <row r="105" spans="1:67" x14ac:dyDescent="0.25">
      <c r="A105" s="73">
        <v>180</v>
      </c>
      <c r="B105" s="29" t="s">
        <v>810</v>
      </c>
      <c r="C105" s="8" t="s">
        <v>956</v>
      </c>
      <c r="D105" s="8">
        <v>2008</v>
      </c>
      <c r="E105" s="8">
        <v>2007</v>
      </c>
      <c r="F105" s="8" t="s">
        <v>906</v>
      </c>
      <c r="G105" s="8" t="s">
        <v>348</v>
      </c>
      <c r="H105" s="8" t="s">
        <v>140</v>
      </c>
      <c r="I105" s="8" t="s">
        <v>68</v>
      </c>
      <c r="J105" s="8" t="s">
        <v>957</v>
      </c>
      <c r="K105" s="8" t="s">
        <v>472</v>
      </c>
      <c r="L105" s="8">
        <v>270</v>
      </c>
      <c r="M105" t="s">
        <v>90</v>
      </c>
      <c r="N105" s="2" t="s">
        <v>509</v>
      </c>
      <c r="O105">
        <v>19</v>
      </c>
      <c r="P105" s="8">
        <v>19</v>
      </c>
      <c r="Q105" s="8" t="s">
        <v>164</v>
      </c>
      <c r="U105" t="s">
        <v>128</v>
      </c>
      <c r="AG105" s="8" t="s">
        <v>958</v>
      </c>
      <c r="AH105" t="s">
        <v>959</v>
      </c>
      <c r="AI105" s="15" t="s">
        <v>960</v>
      </c>
      <c r="AJ105" s="8">
        <v>2007</v>
      </c>
      <c r="AK105" s="8" t="s">
        <v>79</v>
      </c>
      <c r="AL105" s="8">
        <v>91.36</v>
      </c>
      <c r="AQ105" s="8">
        <v>91.39</v>
      </c>
      <c r="AR105" s="54">
        <v>91.36</v>
      </c>
      <c r="AS105" s="55">
        <v>97.99</v>
      </c>
      <c r="AT105" s="55">
        <v>0.49</v>
      </c>
      <c r="AU105" s="55">
        <v>0.34</v>
      </c>
      <c r="AV105" s="56">
        <v>1.18</v>
      </c>
      <c r="AW105" s="54">
        <v>43.84</v>
      </c>
      <c r="AX105" s="48">
        <f t="shared" si="1"/>
        <v>40.039999999999992</v>
      </c>
      <c r="AY105" s="55">
        <v>83.88</v>
      </c>
      <c r="AZ105" s="55">
        <v>4.96</v>
      </c>
      <c r="BA105" s="55">
        <v>11</v>
      </c>
      <c r="BB105" s="56">
        <v>0.17</v>
      </c>
      <c r="BC105" s="38">
        <v>6</v>
      </c>
      <c r="BD105" s="15" t="s">
        <v>1219</v>
      </c>
      <c r="BG105" s="39" t="s">
        <v>174</v>
      </c>
      <c r="BH105" s="19" t="s">
        <v>137</v>
      </c>
      <c r="BI105" s="8">
        <v>8013.8</v>
      </c>
      <c r="BJ105" s="8" t="s">
        <v>82</v>
      </c>
      <c r="BL105" s="23">
        <v>51.9</v>
      </c>
      <c r="BM105" s="23">
        <v>2019</v>
      </c>
      <c r="BN105" s="23" t="s">
        <v>347</v>
      </c>
      <c r="BO105" s="23">
        <v>12</v>
      </c>
    </row>
    <row r="106" spans="1:67" x14ac:dyDescent="0.25">
      <c r="A106" s="73">
        <v>181</v>
      </c>
      <c r="B106" s="29" t="s">
        <v>810</v>
      </c>
      <c r="C106" s="8" t="s">
        <v>961</v>
      </c>
      <c r="D106" s="8">
        <v>2015</v>
      </c>
      <c r="E106" s="8" t="s">
        <v>98</v>
      </c>
      <c r="F106" s="8" t="s">
        <v>906</v>
      </c>
      <c r="G106" s="8" t="s">
        <v>348</v>
      </c>
      <c r="H106" s="8" t="s">
        <v>140</v>
      </c>
      <c r="I106" s="8" t="s">
        <v>68</v>
      </c>
      <c r="J106" s="8" t="s">
        <v>962</v>
      </c>
      <c r="K106" s="8" t="s">
        <v>69</v>
      </c>
      <c r="L106" s="8">
        <v>200</v>
      </c>
      <c r="M106" t="s">
        <v>90</v>
      </c>
      <c r="N106" s="2" t="s">
        <v>573</v>
      </c>
      <c r="O106">
        <v>139</v>
      </c>
      <c r="P106" s="8">
        <v>117</v>
      </c>
      <c r="Q106" s="8" t="s">
        <v>963</v>
      </c>
      <c r="U106" t="s">
        <v>128</v>
      </c>
      <c r="V106" t="s">
        <v>75</v>
      </c>
      <c r="AG106" s="8" t="s">
        <v>964</v>
      </c>
      <c r="AH106" s="1" t="s">
        <v>965</v>
      </c>
      <c r="AI106" s="8" t="s">
        <v>966</v>
      </c>
      <c r="AJ106" s="8">
        <v>2012</v>
      </c>
      <c r="AK106" s="8" t="s">
        <v>79</v>
      </c>
      <c r="AL106" s="8">
        <v>92.02</v>
      </c>
      <c r="AQ106" s="8">
        <v>93.82</v>
      </c>
      <c r="AR106" s="54">
        <v>92.02</v>
      </c>
      <c r="AS106" s="55">
        <v>97.78</v>
      </c>
      <c r="AT106" s="55">
        <v>0.43</v>
      </c>
      <c r="AU106" s="55">
        <v>0.28000000000000003</v>
      </c>
      <c r="AV106" s="56">
        <v>1.51</v>
      </c>
      <c r="AW106" s="54">
        <v>59.91</v>
      </c>
      <c r="AX106" s="48">
        <f t="shared" si="1"/>
        <v>28.460000000000008</v>
      </c>
      <c r="AY106" s="55">
        <v>88.37</v>
      </c>
      <c r="AZ106" s="55">
        <v>4.0199999999999996</v>
      </c>
      <c r="BA106" s="55">
        <v>7.44</v>
      </c>
      <c r="BB106" s="56">
        <v>0.17</v>
      </c>
      <c r="BC106" s="65">
        <v>7.31</v>
      </c>
      <c r="BD106" s="66" t="s">
        <v>1185</v>
      </c>
      <c r="BG106" s="39" t="s">
        <v>174</v>
      </c>
      <c r="BH106" s="19" t="s">
        <v>137</v>
      </c>
      <c r="BI106" s="8">
        <v>12217.9</v>
      </c>
      <c r="BJ106" s="8" t="s">
        <v>82</v>
      </c>
      <c r="BL106" s="23">
        <v>51.9</v>
      </c>
      <c r="BM106" s="23">
        <v>2019</v>
      </c>
      <c r="BN106" s="23" t="s">
        <v>347</v>
      </c>
      <c r="BO106" s="23">
        <v>7</v>
      </c>
    </row>
    <row r="107" spans="1:67" x14ac:dyDescent="0.25">
      <c r="A107" s="73">
        <v>182</v>
      </c>
      <c r="B107" s="29" t="s">
        <v>810</v>
      </c>
      <c r="C107" s="8" t="s">
        <v>967</v>
      </c>
      <c r="D107" s="8">
        <v>2013</v>
      </c>
      <c r="E107" s="8" t="s">
        <v>968</v>
      </c>
      <c r="F107" s="8" t="s">
        <v>428</v>
      </c>
      <c r="G107" s="8" t="s">
        <v>348</v>
      </c>
      <c r="H107" s="8" t="s">
        <v>140</v>
      </c>
      <c r="I107" s="8" t="s">
        <v>68</v>
      </c>
      <c r="J107" s="8" t="s">
        <v>887</v>
      </c>
      <c r="K107" s="8" t="s">
        <v>76</v>
      </c>
      <c r="L107" s="8">
        <v>41</v>
      </c>
      <c r="M107" t="s">
        <v>90</v>
      </c>
      <c r="N107" s="2" t="s">
        <v>509</v>
      </c>
      <c r="O107">
        <v>3</v>
      </c>
      <c r="P107" s="8">
        <v>3</v>
      </c>
      <c r="Q107" s="8" t="s">
        <v>969</v>
      </c>
      <c r="U107" t="s">
        <v>128</v>
      </c>
      <c r="AG107" s="8" t="s">
        <v>970</v>
      </c>
      <c r="AH107" t="s">
        <v>971</v>
      </c>
      <c r="AI107" s="8" t="s">
        <v>972</v>
      </c>
      <c r="AJ107" s="8">
        <v>2011</v>
      </c>
      <c r="AK107" s="8" t="s">
        <v>79</v>
      </c>
      <c r="AL107" s="8">
        <v>91.62</v>
      </c>
      <c r="AQ107" s="8">
        <v>93.33</v>
      </c>
      <c r="AR107" s="54">
        <v>91.62</v>
      </c>
      <c r="AS107" s="55">
        <v>97.82</v>
      </c>
      <c r="AT107" s="55">
        <v>0.45</v>
      </c>
      <c r="AU107" s="55">
        <v>0.28999999999999998</v>
      </c>
      <c r="AV107" s="56">
        <v>1.44</v>
      </c>
      <c r="AW107" s="54">
        <v>56.65</v>
      </c>
      <c r="AX107" s="48">
        <f t="shared" si="1"/>
        <v>30.82</v>
      </c>
      <c r="AY107" s="55">
        <v>87.47</v>
      </c>
      <c r="AZ107" s="55">
        <v>4.21</v>
      </c>
      <c r="BA107" s="55">
        <v>8.15</v>
      </c>
      <c r="BB107" s="56">
        <v>0.17</v>
      </c>
      <c r="BC107" s="65">
        <v>4.28</v>
      </c>
      <c r="BD107" s="66" t="s">
        <v>1186</v>
      </c>
      <c r="BG107" s="39" t="s">
        <v>174</v>
      </c>
      <c r="BH107" s="19" t="s">
        <v>137</v>
      </c>
      <c r="BI107" s="8">
        <v>11404.9</v>
      </c>
      <c r="BJ107" s="8" t="s">
        <v>82</v>
      </c>
      <c r="BL107" s="23">
        <v>51.9</v>
      </c>
      <c r="BM107" s="23">
        <v>2019</v>
      </c>
      <c r="BN107" s="23" t="s">
        <v>347</v>
      </c>
      <c r="BO107" s="23">
        <v>9.5</v>
      </c>
    </row>
    <row r="108" spans="1:67" x14ac:dyDescent="0.25">
      <c r="A108" s="73">
        <v>183</v>
      </c>
      <c r="B108" s="29" t="s">
        <v>810</v>
      </c>
      <c r="C108" s="8" t="s">
        <v>973</v>
      </c>
      <c r="D108" s="8">
        <v>2018</v>
      </c>
      <c r="E108" s="8" t="s">
        <v>170</v>
      </c>
      <c r="F108" s="8" t="s">
        <v>974</v>
      </c>
      <c r="G108" s="8" t="s">
        <v>251</v>
      </c>
      <c r="H108" s="8" t="s">
        <v>140</v>
      </c>
      <c r="I108" s="8" t="s">
        <v>68</v>
      </c>
      <c r="J108" s="8" t="s">
        <v>975</v>
      </c>
      <c r="K108" s="8" t="s">
        <v>586</v>
      </c>
      <c r="L108" s="8">
        <v>498</v>
      </c>
      <c r="M108" t="s">
        <v>90</v>
      </c>
      <c r="N108" s="2" t="s">
        <v>868</v>
      </c>
      <c r="O108">
        <v>400</v>
      </c>
      <c r="P108" s="8">
        <v>400</v>
      </c>
      <c r="Q108" s="8" t="s">
        <v>976</v>
      </c>
      <c r="U108" t="s">
        <v>128</v>
      </c>
      <c r="AG108" s="8" t="s">
        <v>977</v>
      </c>
      <c r="AH108" t="s">
        <v>978</v>
      </c>
      <c r="AI108" s="8" t="s">
        <v>979</v>
      </c>
      <c r="AJ108" s="8">
        <v>2016</v>
      </c>
      <c r="AK108" s="8" t="s">
        <v>79</v>
      </c>
      <c r="AL108" s="8">
        <v>74.98</v>
      </c>
      <c r="AQ108" s="8">
        <v>75.78</v>
      </c>
      <c r="AR108" s="54">
        <v>74.98</v>
      </c>
      <c r="AS108" s="55">
        <v>97.43</v>
      </c>
      <c r="AT108" s="55">
        <v>0.65</v>
      </c>
      <c r="AU108" s="55">
        <v>0.17</v>
      </c>
      <c r="AV108" s="56">
        <v>1.75</v>
      </c>
      <c r="AW108" s="54">
        <v>40.24</v>
      </c>
      <c r="AX108" s="48">
        <f t="shared" si="1"/>
        <v>52.139999999999993</v>
      </c>
      <c r="AY108" s="55">
        <v>92.38</v>
      </c>
      <c r="AZ108" s="55">
        <v>2.94</v>
      </c>
      <c r="BA108" s="55">
        <v>3.58</v>
      </c>
      <c r="BB108" s="56">
        <v>1.0900000000000001</v>
      </c>
      <c r="BC108" s="65">
        <v>24.61</v>
      </c>
      <c r="BD108" s="66" t="s">
        <v>1190</v>
      </c>
      <c r="BG108" s="39" t="s">
        <v>247</v>
      </c>
      <c r="BH108" s="19" t="s">
        <v>137</v>
      </c>
      <c r="BI108" s="8">
        <v>9743.2000000000007</v>
      </c>
      <c r="BJ108" s="8" t="s">
        <v>82</v>
      </c>
      <c r="BL108" s="22"/>
      <c r="BM108" s="22"/>
      <c r="BN108" s="22" t="s">
        <v>260</v>
      </c>
      <c r="BO108" s="22"/>
    </row>
    <row r="109" spans="1:67" x14ac:dyDescent="0.25">
      <c r="A109" s="73">
        <v>184</v>
      </c>
      <c r="B109" s="29" t="s">
        <v>810</v>
      </c>
      <c r="C109" s="8" t="s">
        <v>362</v>
      </c>
      <c r="D109" s="8">
        <v>2011</v>
      </c>
      <c r="E109" s="8" t="s">
        <v>698</v>
      </c>
      <c r="F109" s="8" t="s">
        <v>906</v>
      </c>
      <c r="G109" s="8" t="s">
        <v>348</v>
      </c>
      <c r="H109" s="8" t="s">
        <v>140</v>
      </c>
      <c r="I109" s="8" t="s">
        <v>68</v>
      </c>
      <c r="J109" s="8" t="s">
        <v>980</v>
      </c>
      <c r="L109" s="8">
        <v>109</v>
      </c>
      <c r="M109" t="s">
        <v>90</v>
      </c>
      <c r="N109" s="2" t="s">
        <v>509</v>
      </c>
      <c r="O109">
        <v>55</v>
      </c>
      <c r="P109" s="8">
        <v>55</v>
      </c>
      <c r="Q109" s="8" t="s">
        <v>981</v>
      </c>
      <c r="U109" t="s">
        <v>128</v>
      </c>
      <c r="AG109" s="8" t="s">
        <v>982</v>
      </c>
      <c r="AH109" t="s">
        <v>983</v>
      </c>
      <c r="AI109" s="15" t="s">
        <v>984</v>
      </c>
      <c r="AJ109" s="8">
        <v>2009</v>
      </c>
      <c r="AK109" s="8" t="s">
        <v>79</v>
      </c>
      <c r="AL109" s="8">
        <v>91.27</v>
      </c>
      <c r="AQ109" s="8">
        <v>92.36</v>
      </c>
      <c r="AR109" s="54">
        <v>91.27</v>
      </c>
      <c r="AS109" s="55">
        <v>97.9</v>
      </c>
      <c r="AT109" s="55">
        <v>0.47</v>
      </c>
      <c r="AU109" s="55">
        <v>0.32</v>
      </c>
      <c r="AV109" s="56">
        <v>1.31</v>
      </c>
      <c r="AW109" s="54">
        <v>50.19</v>
      </c>
      <c r="AX109" s="48">
        <f t="shared" si="1"/>
        <v>35.480000000000004</v>
      </c>
      <c r="AY109" s="55">
        <v>85.67</v>
      </c>
      <c r="AZ109" s="55">
        <v>4.59</v>
      </c>
      <c r="BA109" s="55">
        <v>9.58</v>
      </c>
      <c r="BB109" s="56">
        <v>0.17</v>
      </c>
      <c r="BC109" s="38">
        <v>8.1</v>
      </c>
      <c r="BD109" s="15" t="s">
        <v>1208</v>
      </c>
      <c r="BG109" s="39" t="s">
        <v>174</v>
      </c>
      <c r="BH109" s="19" t="s">
        <v>137</v>
      </c>
      <c r="BI109" s="8">
        <v>9518.7000000000007</v>
      </c>
      <c r="BJ109" s="8" t="s">
        <v>82</v>
      </c>
      <c r="BL109" s="23">
        <v>51.9</v>
      </c>
      <c r="BM109" s="23">
        <v>2019</v>
      </c>
      <c r="BN109" s="23" t="s">
        <v>347</v>
      </c>
      <c r="BO109" s="23">
        <v>10</v>
      </c>
    </row>
    <row r="110" spans="1:67" x14ac:dyDescent="0.25">
      <c r="A110" s="73">
        <v>185</v>
      </c>
      <c r="B110" s="29" t="s">
        <v>810</v>
      </c>
      <c r="C110" s="8" t="s">
        <v>985</v>
      </c>
      <c r="D110" s="8">
        <v>2019</v>
      </c>
      <c r="E110" s="8" t="s">
        <v>103</v>
      </c>
      <c r="F110" s="8" t="s">
        <v>906</v>
      </c>
      <c r="G110" s="8" t="s">
        <v>433</v>
      </c>
      <c r="H110" s="8" t="s">
        <v>140</v>
      </c>
      <c r="I110" s="8" t="s">
        <v>123</v>
      </c>
      <c r="J110" s="8" t="s">
        <v>986</v>
      </c>
      <c r="K110" s="8" t="s">
        <v>125</v>
      </c>
      <c r="L110" s="8">
        <v>307</v>
      </c>
      <c r="M110" s="8" t="s">
        <v>90</v>
      </c>
      <c r="N110" s="2" t="s">
        <v>987</v>
      </c>
      <c r="O110">
        <v>64</v>
      </c>
      <c r="P110" s="8">
        <v>53</v>
      </c>
      <c r="Q110" s="8" t="s">
        <v>988</v>
      </c>
      <c r="U110" t="s">
        <v>128</v>
      </c>
      <c r="AG110" s="8" t="s">
        <v>989</v>
      </c>
      <c r="AH110" t="s">
        <v>990</v>
      </c>
      <c r="AI110" s="16" t="s">
        <v>991</v>
      </c>
      <c r="AJ110" s="8">
        <v>2011</v>
      </c>
      <c r="AK110" s="8" t="s">
        <v>212</v>
      </c>
      <c r="AL110" s="8">
        <v>15.01</v>
      </c>
      <c r="AQ110" s="8">
        <v>8.32</v>
      </c>
      <c r="AR110" s="54">
        <v>15.01</v>
      </c>
      <c r="AS110" s="55">
        <v>62.52</v>
      </c>
      <c r="AT110" s="55">
        <v>3.32</v>
      </c>
      <c r="AU110" s="55">
        <v>18.79</v>
      </c>
      <c r="AV110" s="56">
        <v>15.37</v>
      </c>
      <c r="AW110" s="54">
        <v>20.9</v>
      </c>
      <c r="AX110" s="48">
        <f t="shared" si="1"/>
        <v>12.020000000000003</v>
      </c>
      <c r="AY110" s="55">
        <v>32.92</v>
      </c>
      <c r="AZ110" s="55">
        <v>6.01</v>
      </c>
      <c r="BA110" s="55">
        <v>3.32</v>
      </c>
      <c r="BB110" s="56">
        <v>57.74</v>
      </c>
      <c r="BC110" s="64">
        <v>6.6</v>
      </c>
      <c r="BD110" s="16" t="s">
        <v>1211</v>
      </c>
      <c r="BG110" s="39" t="s">
        <v>247</v>
      </c>
      <c r="BH110" s="19" t="s">
        <v>137</v>
      </c>
      <c r="BI110" s="8">
        <v>3922</v>
      </c>
      <c r="BJ110" s="8" t="s">
        <v>82</v>
      </c>
      <c r="BL110" s="21">
        <v>72.8</v>
      </c>
      <c r="BM110" s="21">
        <v>2018</v>
      </c>
      <c r="BN110" s="21" t="s">
        <v>138</v>
      </c>
      <c r="BO110" s="21">
        <v>7</v>
      </c>
    </row>
    <row r="111" spans="1:67" x14ac:dyDescent="0.25">
      <c r="A111" s="73">
        <v>186</v>
      </c>
      <c r="B111" s="29" t="s">
        <v>810</v>
      </c>
      <c r="C111" s="8" t="s">
        <v>992</v>
      </c>
      <c r="D111" s="8">
        <v>2016</v>
      </c>
      <c r="E111" s="8" t="s">
        <v>117</v>
      </c>
      <c r="F111" s="8" t="s">
        <v>993</v>
      </c>
      <c r="G111" s="8" t="s">
        <v>348</v>
      </c>
      <c r="H111" s="8" t="s">
        <v>140</v>
      </c>
      <c r="I111" s="8" t="s">
        <v>68</v>
      </c>
      <c r="J111" s="8" t="s">
        <v>994</v>
      </c>
      <c r="K111" s="8" t="s">
        <v>69</v>
      </c>
      <c r="L111" s="8">
        <v>1732</v>
      </c>
      <c r="M111" t="s">
        <v>90</v>
      </c>
      <c r="N111" s="2" t="s">
        <v>509</v>
      </c>
      <c r="O111">
        <v>528</v>
      </c>
      <c r="P111" s="8">
        <v>528</v>
      </c>
      <c r="Q111" s="8" t="s">
        <v>995</v>
      </c>
      <c r="U111" t="s">
        <v>128</v>
      </c>
      <c r="AG111" s="8" t="s">
        <v>996</v>
      </c>
      <c r="AH111" t="s">
        <v>997</v>
      </c>
      <c r="AI111" s="8" t="s">
        <v>998</v>
      </c>
      <c r="AJ111" s="8">
        <v>2014</v>
      </c>
      <c r="AK111" s="8" t="s">
        <v>79</v>
      </c>
      <c r="AL111" s="8">
        <v>92.83</v>
      </c>
      <c r="AQ111" s="8">
        <v>94.79</v>
      </c>
      <c r="AR111" s="54">
        <v>92.83</v>
      </c>
      <c r="AS111" s="55">
        <v>97.7</v>
      </c>
      <c r="AT111" s="55">
        <v>0.41</v>
      </c>
      <c r="AU111" s="55">
        <v>0.25</v>
      </c>
      <c r="AV111" s="56">
        <v>1.64</v>
      </c>
      <c r="AW111" s="54">
        <v>66.5</v>
      </c>
      <c r="AX111" s="48">
        <f t="shared" si="1"/>
        <v>23.689999999999998</v>
      </c>
      <c r="AY111" s="55">
        <v>90.19</v>
      </c>
      <c r="AZ111" s="55">
        <v>3.62</v>
      </c>
      <c r="BA111" s="55">
        <v>6.02</v>
      </c>
      <c r="BB111" s="56">
        <v>0.17</v>
      </c>
      <c r="BC111" s="65">
        <v>7.79</v>
      </c>
      <c r="BD111" s="66" t="s">
        <v>1187</v>
      </c>
      <c r="BG111" s="39" t="s">
        <v>174</v>
      </c>
      <c r="BH111" s="19" t="s">
        <v>137</v>
      </c>
      <c r="BI111" s="8">
        <v>13968.5</v>
      </c>
      <c r="BJ111" s="8" t="s">
        <v>82</v>
      </c>
      <c r="BL111" s="23">
        <v>51.9</v>
      </c>
      <c r="BM111" s="23">
        <v>2019</v>
      </c>
      <c r="BN111" s="23" t="s">
        <v>347</v>
      </c>
      <c r="BO111" s="23">
        <v>5</v>
      </c>
    </row>
    <row r="112" spans="1:67" x14ac:dyDescent="0.25">
      <c r="A112" s="73">
        <v>187</v>
      </c>
      <c r="B112" s="29" t="s">
        <v>196</v>
      </c>
      <c r="C112" s="8" t="s">
        <v>999</v>
      </c>
      <c r="D112" s="8">
        <v>2022</v>
      </c>
      <c r="E112" s="8" t="s">
        <v>234</v>
      </c>
      <c r="F112" s="8" t="s">
        <v>428</v>
      </c>
      <c r="G112" s="8" t="s">
        <v>220</v>
      </c>
      <c r="H112" s="8" t="s">
        <v>140</v>
      </c>
      <c r="I112" s="8" t="s">
        <v>68</v>
      </c>
      <c r="J112" s="8" t="s">
        <v>1000</v>
      </c>
      <c r="K112" s="8" t="s">
        <v>1001</v>
      </c>
      <c r="L112" s="8">
        <v>99</v>
      </c>
      <c r="M112" t="s">
        <v>90</v>
      </c>
      <c r="N112" s="2" t="s">
        <v>573</v>
      </c>
      <c r="O112" s="8">
        <v>28</v>
      </c>
      <c r="P112" s="8">
        <v>25</v>
      </c>
      <c r="Q112" s="8">
        <v>28</v>
      </c>
      <c r="U112" t="s">
        <v>128</v>
      </c>
      <c r="AG112" s="8" t="s">
        <v>1002</v>
      </c>
      <c r="AH112" t="s">
        <v>1003</v>
      </c>
      <c r="AI112" s="16" t="s">
        <v>1004</v>
      </c>
      <c r="AJ112" s="8">
        <v>2018</v>
      </c>
      <c r="AK112" s="8" t="s">
        <v>79</v>
      </c>
      <c r="AL112" s="8">
        <v>66.16</v>
      </c>
      <c r="AQ112" s="8">
        <v>77.67</v>
      </c>
      <c r="AR112" s="54">
        <v>49.39</v>
      </c>
      <c r="AS112" s="55">
        <v>85.82</v>
      </c>
      <c r="AT112" s="55">
        <v>9.56</v>
      </c>
      <c r="AU112" s="55">
        <v>0.36</v>
      </c>
      <c r="AV112" s="56">
        <v>4.2699999999999996</v>
      </c>
      <c r="AW112" s="54">
        <v>36.19</v>
      </c>
      <c r="AX112" s="48">
        <f t="shared" si="1"/>
        <v>6.6500000000000057</v>
      </c>
      <c r="AY112" s="55">
        <v>42.84</v>
      </c>
      <c r="AZ112" s="55">
        <v>34.26</v>
      </c>
      <c r="BA112" s="55">
        <v>21.65</v>
      </c>
      <c r="BB112" s="56">
        <v>1.24</v>
      </c>
      <c r="BC112" s="64">
        <v>9.8000000000000007</v>
      </c>
      <c r="BD112" s="16" t="s">
        <v>1215</v>
      </c>
      <c r="BG112" s="39" t="s">
        <v>187</v>
      </c>
      <c r="BH112" s="19" t="s">
        <v>137</v>
      </c>
      <c r="BI112" s="8">
        <v>1638.9</v>
      </c>
      <c r="BJ112" s="8" t="s">
        <v>82</v>
      </c>
      <c r="BL112" s="21">
        <v>71.91</v>
      </c>
      <c r="BM112" s="21">
        <v>2017</v>
      </c>
      <c r="BN112" s="21" t="s">
        <v>138</v>
      </c>
      <c r="BO112" s="21">
        <v>0.5</v>
      </c>
    </row>
  </sheetData>
  <autoFilter ref="A1:BK112" xr:uid="{00000000-0009-0000-0000-000000000000}">
    <filterColumn colId="59">
      <filters>
        <filter val="Include"/>
      </filters>
    </filterColumn>
  </autoFilter>
  <phoneticPr fontId="8" type="noConversion"/>
  <hyperlinks>
    <hyperlink ref="AH2" r:id="rId1" xr:uid="{00000000-0004-0000-0000-000002000000}"/>
    <hyperlink ref="AH4" r:id="rId2" xr:uid="{00000000-0004-0000-0000-000004000000}"/>
    <hyperlink ref="AH5" r:id="rId3" xr:uid="{00000000-0004-0000-0000-000006000000}"/>
    <hyperlink ref="AH7" r:id="rId4" xr:uid="{00000000-0004-0000-0000-000007000000}"/>
    <hyperlink ref="AH10" r:id="rId5" xr:uid="{00000000-0004-0000-0000-000008000000}"/>
    <hyperlink ref="AH14" r:id="rId6" xr:uid="{00000000-0004-0000-0000-00000A000000}"/>
    <hyperlink ref="AH15" r:id="rId7" xr:uid="{00000000-0004-0000-0000-00000B000000}"/>
    <hyperlink ref="AH17" r:id="rId8" xr:uid="{00000000-0004-0000-0000-00000C000000}"/>
    <hyperlink ref="AH25" r:id="rId9" xr:uid="{00000000-0004-0000-0000-00000D000000}"/>
    <hyperlink ref="AH26" r:id="rId10" xr:uid="{00000000-0004-0000-0000-00000F000000}"/>
    <hyperlink ref="AH27" r:id="rId11" xr:uid="{00000000-0004-0000-0000-000010000000}"/>
    <hyperlink ref="AH29" r:id="rId12" xr:uid="{00000000-0004-0000-0000-000011000000}"/>
    <hyperlink ref="AH30" r:id="rId13" xr:uid="{00000000-0004-0000-0000-000012000000}"/>
    <hyperlink ref="AH31" r:id="rId14" xr:uid="{00000000-0004-0000-0000-000013000000}"/>
    <hyperlink ref="AH33" r:id="rId15" xr:uid="{00000000-0004-0000-0000-000014000000}"/>
    <hyperlink ref="AH40" r:id="rId16" xr:uid="{00000000-0004-0000-0000-000015000000}"/>
    <hyperlink ref="AH63" r:id="rId17" xr:uid="{00000000-0004-0000-0000-000016000000}"/>
    <hyperlink ref="AH65" r:id="rId18" xr:uid="{00000000-0004-0000-0000-000017000000}"/>
    <hyperlink ref="AH75" r:id="rId19" xr:uid="{00000000-0004-0000-0000-000018000000}"/>
    <hyperlink ref="AH76" r:id="rId20" xr:uid="{00000000-0004-0000-0000-000019000000}"/>
    <hyperlink ref="AH77" r:id="rId21" xr:uid="{00000000-0004-0000-0000-00001A000000}"/>
    <hyperlink ref="AH78" r:id="rId22" xr:uid="{00000000-0004-0000-0000-00001B000000}"/>
    <hyperlink ref="AH79" r:id="rId23" xr:uid="{00000000-0004-0000-0000-00001C000000}"/>
    <hyperlink ref="AH80" r:id="rId24" xr:uid="{00000000-0004-0000-0000-00001D000000}"/>
    <hyperlink ref="AH81" r:id="rId25" xr:uid="{00000000-0004-0000-0000-00001E000000}"/>
    <hyperlink ref="AH82" r:id="rId26" xr:uid="{00000000-0004-0000-0000-00001F000000}"/>
    <hyperlink ref="AH83" r:id="rId27" xr:uid="{00000000-0004-0000-0000-000020000000}"/>
    <hyperlink ref="AH87" r:id="rId28" xr:uid="{00000000-0004-0000-0000-000021000000}"/>
    <hyperlink ref="AH94" r:id="rId29" xr:uid="{00000000-0004-0000-0000-000022000000}"/>
    <hyperlink ref="AH98" r:id="rId30" xr:uid="{00000000-0004-0000-0000-000023000000}"/>
    <hyperlink ref="AH101" r:id="rId31" xr:uid="{00000000-0004-0000-0000-000024000000}"/>
    <hyperlink ref="AH106" r:id="rId32" xr:uid="{00000000-0004-0000-0000-00002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election activeCell="A27" sqref="A27"/>
    </sheetView>
  </sheetViews>
  <sheetFormatPr defaultRowHeight="15" x14ac:dyDescent="0.25"/>
  <sheetData>
    <row r="1" spans="1:1" x14ac:dyDescent="0.25">
      <c r="A1" t="s">
        <v>1142</v>
      </c>
    </row>
    <row r="3" spans="1:1" x14ac:dyDescent="0.25">
      <c r="A3" t="s">
        <v>1005</v>
      </c>
    </row>
    <row r="4" spans="1:1" x14ac:dyDescent="0.25">
      <c r="A4" t="s">
        <v>1224</v>
      </c>
    </row>
    <row r="6" spans="1:1" x14ac:dyDescent="0.25">
      <c r="A6" t="s">
        <v>1006</v>
      </c>
    </row>
    <row r="7" spans="1:1" x14ac:dyDescent="0.25">
      <c r="A7" t="s">
        <v>1007</v>
      </c>
    </row>
    <row r="8" spans="1:1" x14ac:dyDescent="0.25">
      <c r="A8" t="s">
        <v>1008</v>
      </c>
    </row>
    <row r="9" spans="1:1" x14ac:dyDescent="0.25">
      <c r="A9" t="s">
        <v>1009</v>
      </c>
    </row>
    <row r="10" spans="1:1" x14ac:dyDescent="0.25">
      <c r="A10" t="s">
        <v>1010</v>
      </c>
    </row>
    <row r="11" spans="1:1" x14ac:dyDescent="0.25">
      <c r="A11" t="s">
        <v>1011</v>
      </c>
    </row>
    <row r="12" spans="1:1" x14ac:dyDescent="0.25">
      <c r="A12" t="s">
        <v>1012</v>
      </c>
    </row>
    <row r="14" spans="1:1" x14ac:dyDescent="0.25">
      <c r="A14" s="69" t="s">
        <v>1223</v>
      </c>
    </row>
    <row r="15" spans="1:1" x14ac:dyDescent="0.25">
      <c r="A15" t="s">
        <v>1138</v>
      </c>
    </row>
    <row r="16" spans="1:1" x14ac:dyDescent="0.25">
      <c r="A16" t="s">
        <v>1140</v>
      </c>
    </row>
    <row r="17" spans="1:1" x14ac:dyDescent="0.25">
      <c r="A17" t="s">
        <v>1141</v>
      </c>
    </row>
    <row r="18" spans="1:1" x14ac:dyDescent="0.25">
      <c r="A18" t="s">
        <v>1013</v>
      </c>
    </row>
    <row r="20" spans="1:1" x14ac:dyDescent="0.25">
      <c r="A20" s="69" t="s">
        <v>1222</v>
      </c>
    </row>
    <row r="21" spans="1:1" x14ac:dyDescent="0.25">
      <c r="A21" t="s">
        <v>1014</v>
      </c>
    </row>
    <row r="22" spans="1:1" x14ac:dyDescent="0.25">
      <c r="A22" t="s">
        <v>1015</v>
      </c>
    </row>
    <row r="23" spans="1:1" x14ac:dyDescent="0.25">
      <c r="A23" t="s">
        <v>1016</v>
      </c>
    </row>
    <row r="24" spans="1:1" x14ac:dyDescent="0.25">
      <c r="A24" t="s">
        <v>1017</v>
      </c>
    </row>
    <row r="25" spans="1:1" x14ac:dyDescent="0.25">
      <c r="A25" t="s">
        <v>1018</v>
      </c>
    </row>
    <row r="26" spans="1:1" x14ac:dyDescent="0.25">
      <c r="A26" t="s">
        <v>1019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5"/>
  <sheetViews>
    <sheetView topLeftCell="A16" workbookViewId="0">
      <selection activeCell="A29" sqref="A29"/>
    </sheetView>
  </sheetViews>
  <sheetFormatPr defaultRowHeight="15" x14ac:dyDescent="0.25"/>
  <sheetData>
    <row r="1" spans="1:5" x14ac:dyDescent="0.25">
      <c r="A1" t="s">
        <v>1020</v>
      </c>
      <c r="B1" t="s">
        <v>1021</v>
      </c>
      <c r="C1" t="s">
        <v>1022</v>
      </c>
      <c r="D1" t="s">
        <v>1023</v>
      </c>
      <c r="E1" t="s">
        <v>1024</v>
      </c>
    </row>
    <row r="2" spans="1:5" x14ac:dyDescent="0.25">
      <c r="A2" t="s">
        <v>1025</v>
      </c>
      <c r="B2" t="s">
        <v>1026</v>
      </c>
      <c r="C2" t="s">
        <v>1027</v>
      </c>
      <c r="D2" t="s">
        <v>1028</v>
      </c>
      <c r="E2" t="s">
        <v>1029</v>
      </c>
    </row>
    <row r="3" spans="1:5" x14ac:dyDescent="0.25">
      <c r="A3" t="s">
        <v>1030</v>
      </c>
      <c r="B3" t="s">
        <v>1031</v>
      </c>
      <c r="C3" t="s">
        <v>1032</v>
      </c>
      <c r="D3" t="s">
        <v>1033</v>
      </c>
    </row>
    <row r="4" spans="1:5" x14ac:dyDescent="0.25">
      <c r="A4" t="s">
        <v>1034</v>
      </c>
      <c r="B4" t="s">
        <v>1031</v>
      </c>
      <c r="C4" t="s">
        <v>1032</v>
      </c>
      <c r="D4" t="s">
        <v>1035</v>
      </c>
      <c r="E4" t="s">
        <v>1036</v>
      </c>
    </row>
    <row r="5" spans="1:5" x14ac:dyDescent="0.25">
      <c r="A5" t="s">
        <v>1037</v>
      </c>
      <c r="B5" t="s">
        <v>1038</v>
      </c>
      <c r="C5" t="s">
        <v>1039</v>
      </c>
      <c r="D5" t="s">
        <v>1040</v>
      </c>
      <c r="E5" t="s">
        <v>1041</v>
      </c>
    </row>
    <row r="6" spans="1:5" x14ac:dyDescent="0.25">
      <c r="A6" t="s">
        <v>1042</v>
      </c>
      <c r="B6" t="s">
        <v>1043</v>
      </c>
      <c r="C6" t="s">
        <v>1044</v>
      </c>
      <c r="D6" t="s">
        <v>1045</v>
      </c>
      <c r="E6" t="s">
        <v>1046</v>
      </c>
    </row>
    <row r="7" spans="1:5" x14ac:dyDescent="0.25">
      <c r="A7" t="s">
        <v>1047</v>
      </c>
    </row>
    <row r="8" spans="1:5" x14ac:dyDescent="0.25">
      <c r="A8" t="s">
        <v>1048</v>
      </c>
      <c r="B8" t="s">
        <v>1031</v>
      </c>
      <c r="C8" t="s">
        <v>1032</v>
      </c>
      <c r="D8" t="s">
        <v>1049</v>
      </c>
      <c r="E8" t="s">
        <v>1050</v>
      </c>
    </row>
    <row r="9" spans="1:5" x14ac:dyDescent="0.25">
      <c r="A9" t="s">
        <v>1051</v>
      </c>
      <c r="B9" t="s">
        <v>1052</v>
      </c>
      <c r="C9" t="s">
        <v>1039</v>
      </c>
      <c r="D9" t="s">
        <v>1053</v>
      </c>
      <c r="E9" t="s">
        <v>1054</v>
      </c>
    </row>
    <row r="10" spans="1:5" x14ac:dyDescent="0.25">
      <c r="A10" t="s">
        <v>1055</v>
      </c>
      <c r="B10" t="s">
        <v>1056</v>
      </c>
      <c r="C10" t="s">
        <v>1057</v>
      </c>
      <c r="D10" t="s">
        <v>1058</v>
      </c>
      <c r="E10" t="s">
        <v>1059</v>
      </c>
    </row>
    <row r="11" spans="1:5" x14ac:dyDescent="0.25">
      <c r="A11" t="s">
        <v>1060</v>
      </c>
    </row>
    <row r="12" spans="1:5" x14ac:dyDescent="0.25">
      <c r="A12" t="s">
        <v>1061</v>
      </c>
      <c r="B12" t="s">
        <v>1038</v>
      </c>
      <c r="C12" t="s">
        <v>1062</v>
      </c>
      <c r="D12" t="s">
        <v>1063</v>
      </c>
    </row>
    <row r="13" spans="1:5" x14ac:dyDescent="0.25">
      <c r="A13" t="s">
        <v>1064</v>
      </c>
      <c r="B13" t="s">
        <v>1065</v>
      </c>
      <c r="C13" t="s">
        <v>1066</v>
      </c>
      <c r="D13" t="s">
        <v>1067</v>
      </c>
    </row>
    <row r="14" spans="1:5" x14ac:dyDescent="0.25">
      <c r="A14" t="s">
        <v>1068</v>
      </c>
      <c r="B14" t="s">
        <v>1069</v>
      </c>
      <c r="C14" t="s">
        <v>1070</v>
      </c>
      <c r="D14" t="s">
        <v>1071</v>
      </c>
    </row>
    <row r="15" spans="1:5" x14ac:dyDescent="0.25">
      <c r="A15" t="s">
        <v>1072</v>
      </c>
      <c r="B15" t="s">
        <v>1073</v>
      </c>
      <c r="C15" t="s">
        <v>1074</v>
      </c>
      <c r="D15" t="s">
        <v>1075</v>
      </c>
    </row>
    <row r="16" spans="1:5" x14ac:dyDescent="0.25">
      <c r="A16" s="70" t="s">
        <v>1076</v>
      </c>
    </row>
    <row r="17" spans="1:5" x14ac:dyDescent="0.25">
      <c r="A17" t="s">
        <v>1077</v>
      </c>
      <c r="B17" t="s">
        <v>1078</v>
      </c>
      <c r="C17" t="s">
        <v>1079</v>
      </c>
      <c r="D17" t="s">
        <v>1080</v>
      </c>
    </row>
    <row r="18" spans="1:5" x14ac:dyDescent="0.25">
      <c r="A18" t="s">
        <v>1081</v>
      </c>
      <c r="B18" t="s">
        <v>1078</v>
      </c>
      <c r="C18" t="s">
        <v>1079</v>
      </c>
      <c r="D18" t="s">
        <v>1082</v>
      </c>
    </row>
    <row r="20" spans="1:5" x14ac:dyDescent="0.25">
      <c r="A20" t="s">
        <v>1083</v>
      </c>
      <c r="B20" t="s">
        <v>1084</v>
      </c>
      <c r="D20" t="s">
        <v>1085</v>
      </c>
      <c r="E20" t="s">
        <v>1086</v>
      </c>
    </row>
    <row r="22" spans="1:5" x14ac:dyDescent="0.25">
      <c r="A22" t="s">
        <v>1087</v>
      </c>
    </row>
    <row r="23" spans="1:5" x14ac:dyDescent="0.25">
      <c r="A23" t="s">
        <v>1088</v>
      </c>
      <c r="B23" t="s">
        <v>1031</v>
      </c>
      <c r="C23" t="s">
        <v>1032</v>
      </c>
      <c r="D23" t="s">
        <v>1089</v>
      </c>
      <c r="E23" t="s">
        <v>1050</v>
      </c>
    </row>
    <row r="24" spans="1:5" x14ac:dyDescent="0.25">
      <c r="A24" t="s">
        <v>1090</v>
      </c>
      <c r="B24" t="s">
        <v>1052</v>
      </c>
      <c r="C24" t="s">
        <v>1039</v>
      </c>
      <c r="D24" t="s">
        <v>1091</v>
      </c>
      <c r="E24" t="s">
        <v>1092</v>
      </c>
    </row>
    <row r="25" spans="1:5" x14ac:dyDescent="0.25">
      <c r="A25" t="s">
        <v>1093</v>
      </c>
      <c r="B25" t="s">
        <v>1038</v>
      </c>
      <c r="C25" t="s">
        <v>1039</v>
      </c>
      <c r="D25" t="s">
        <v>1094</v>
      </c>
      <c r="E25" t="s">
        <v>1095</v>
      </c>
    </row>
    <row r="26" spans="1:5" x14ac:dyDescent="0.25">
      <c r="A26" t="s">
        <v>1096</v>
      </c>
      <c r="B26" t="s">
        <v>1078</v>
      </c>
      <c r="C26" t="s">
        <v>1079</v>
      </c>
      <c r="D26" t="s">
        <v>1097</v>
      </c>
      <c r="E26" t="s">
        <v>1095</v>
      </c>
    </row>
    <row r="27" spans="1:5" x14ac:dyDescent="0.25">
      <c r="A27" t="s">
        <v>1098</v>
      </c>
      <c r="B27" t="s">
        <v>1031</v>
      </c>
      <c r="C27" t="s">
        <v>1032</v>
      </c>
      <c r="D27" t="s">
        <v>1099</v>
      </c>
      <c r="E27" t="s">
        <v>1100</v>
      </c>
    </row>
    <row r="29" spans="1:5" x14ac:dyDescent="0.25">
      <c r="A29" t="s">
        <v>1101</v>
      </c>
    </row>
    <row r="30" spans="1:5" x14ac:dyDescent="0.25">
      <c r="A30" t="s">
        <v>1102</v>
      </c>
      <c r="B30" t="s">
        <v>1031</v>
      </c>
      <c r="C30" t="s">
        <v>1032</v>
      </c>
      <c r="D30" t="s">
        <v>1103</v>
      </c>
      <c r="E30" t="s">
        <v>1104</v>
      </c>
    </row>
    <row r="31" spans="1:5" x14ac:dyDescent="0.25">
      <c r="A31" t="s">
        <v>1105</v>
      </c>
      <c r="B31" t="s">
        <v>1052</v>
      </c>
      <c r="C31" t="s">
        <v>1039</v>
      </c>
      <c r="D31" t="s">
        <v>1106</v>
      </c>
      <c r="E31" t="s">
        <v>1092</v>
      </c>
    </row>
    <row r="32" spans="1:5" x14ac:dyDescent="0.25">
      <c r="A32" t="s">
        <v>1107</v>
      </c>
      <c r="B32" t="s">
        <v>1038</v>
      </c>
      <c r="C32" t="s">
        <v>1039</v>
      </c>
      <c r="D32" t="s">
        <v>1108</v>
      </c>
      <c r="E32" t="s">
        <v>1109</v>
      </c>
    </row>
    <row r="33" spans="1:5" x14ac:dyDescent="0.25">
      <c r="A33" t="s">
        <v>1110</v>
      </c>
      <c r="B33" t="s">
        <v>1078</v>
      </c>
      <c r="C33" t="s">
        <v>1079</v>
      </c>
      <c r="D33" t="s">
        <v>1111</v>
      </c>
      <c r="E33" t="s">
        <v>1109</v>
      </c>
    </row>
    <row r="35" spans="1:5" x14ac:dyDescent="0.25">
      <c r="A35" s="17" t="s">
        <v>1112</v>
      </c>
    </row>
    <row r="36" spans="1:5" x14ac:dyDescent="0.25">
      <c r="A36" s="19" t="s">
        <v>137</v>
      </c>
      <c r="B36" s="19" t="s">
        <v>1065</v>
      </c>
      <c r="C36" s="19"/>
      <c r="D36" s="19" t="s">
        <v>1113</v>
      </c>
    </row>
    <row r="37" spans="1:5" x14ac:dyDescent="0.25">
      <c r="A37" s="18" t="s">
        <v>81</v>
      </c>
      <c r="B37" s="18" t="s">
        <v>1114</v>
      </c>
      <c r="C37" s="18"/>
      <c r="D37" s="18" t="s">
        <v>1115</v>
      </c>
    </row>
    <row r="39" spans="1:5" x14ac:dyDescent="0.25">
      <c r="A39" s="70" t="s">
        <v>1116</v>
      </c>
    </row>
    <row r="40" spans="1:5" x14ac:dyDescent="0.25">
      <c r="A40" t="s">
        <v>1117</v>
      </c>
      <c r="B40" t="s">
        <v>1118</v>
      </c>
      <c r="C40" t="s">
        <v>1119</v>
      </c>
      <c r="D40" t="s">
        <v>1120</v>
      </c>
      <c r="E40" t="s">
        <v>1121</v>
      </c>
    </row>
    <row r="41" spans="1:5" x14ac:dyDescent="0.25">
      <c r="A41" t="s">
        <v>1122</v>
      </c>
      <c r="B41" s="24" t="s">
        <v>1123</v>
      </c>
      <c r="C41" t="s">
        <v>1124</v>
      </c>
      <c r="D41" t="s">
        <v>1125</v>
      </c>
      <c r="E41" t="s">
        <v>1126</v>
      </c>
    </row>
    <row r="42" spans="1:5" x14ac:dyDescent="0.25">
      <c r="A42" t="s">
        <v>1127</v>
      </c>
      <c r="B42" s="25" t="s">
        <v>1128</v>
      </c>
      <c r="C42" t="s">
        <v>1129</v>
      </c>
      <c r="D42" t="s">
        <v>1130</v>
      </c>
      <c r="E42" t="s">
        <v>1131</v>
      </c>
    </row>
    <row r="43" spans="1:5" x14ac:dyDescent="0.25">
      <c r="A43" t="s">
        <v>1132</v>
      </c>
      <c r="B43" s="26" t="s">
        <v>1133</v>
      </c>
      <c r="C43" t="s">
        <v>1134</v>
      </c>
      <c r="D43" t="s">
        <v>1135</v>
      </c>
      <c r="E43" t="s">
        <v>1136</v>
      </c>
    </row>
    <row r="45" spans="1:5" x14ac:dyDescent="0.25">
      <c r="A45" t="s">
        <v>1137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 Studies</vt:lpstr>
      <vt:lpstr>README</vt:lpstr>
      <vt:lpstr>Legend &amp;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Brecht Ingelbeen</cp:lastModifiedBy>
  <dcterms:created xsi:type="dcterms:W3CDTF">2026-07-09T09:01:41Z</dcterms:created>
  <dcterms:modified xsi:type="dcterms:W3CDTF">2026-10-13T14:30:35Z</dcterms:modified>
</cp:coreProperties>
</file>